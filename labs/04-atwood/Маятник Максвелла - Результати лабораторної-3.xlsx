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ксвел" sheetId="1" r:id="rId5"/>
    <sheet state="visible" name="Атвуд" sheetId="2" r:id="rId6"/>
  </sheets>
  <definedNames/>
  <calcPr/>
</workbook>
</file>

<file path=xl/sharedStrings.xml><?xml version="1.0" encoding="utf-8"?>
<sst xmlns="http://schemas.openxmlformats.org/spreadsheetml/2006/main" count="140" uniqueCount="68">
  <si>
    <t>Лабораторна робота: Маятник Максвелла</t>
  </si>
  <si>
    <t>Константи та параметри установки</t>
  </si>
  <si>
    <t>Прискорення вільного падіння g (м/с²)</t>
  </si>
  <si>
    <t>Висота падіння h (м)</t>
  </si>
  <si>
    <t>Радіус стержня r_c (мм)</t>
  </si>
  <si>
    <t>Радіус диска r_д (мм)</t>
  </si>
  <si>
    <t>Внутрішній радіус r_k1 (мм)</t>
  </si>
  <si>
    <t>Зовнішній радіус r_k2 (мм)</t>
  </si>
  <si>
    <t>Маса стержня m_c (г)</t>
  </si>
  <si>
    <t>Маса диска m_d (г)</t>
  </si>
  <si>
    <t>Параметри кілець</t>
  </si>
  <si>
    <t>Параметр</t>
  </si>
  <si>
    <t>Кільце 1</t>
  </si>
  <si>
    <t>Кільце 2</t>
  </si>
  <si>
    <t>Маса m_k (г)</t>
  </si>
  <si>
    <t>Вимірювання часу падіння (с)</t>
  </si>
  <si>
    <t>Номер спроби</t>
  </si>
  <si>
    <t>Значення 1</t>
  </si>
  <si>
    <t>Значення 2</t>
  </si>
  <si>
    <t>Середня</t>
  </si>
  <si>
    <t>Середній час t_сер (с)</t>
  </si>
  <si>
    <t>Результати розрахунків</t>
  </si>
  <si>
    <t>Повна маса маятника m (кг)</t>
  </si>
  <si>
    <t>Експериментальний момент інерції I_експ</t>
  </si>
  <si>
    <t>Теоретичний момент інерції I_теор</t>
  </si>
  <si>
    <t>Абсолютна розбіжність ΔI</t>
  </si>
  <si>
    <t>Відносна розбіжність ε (%)</t>
  </si>
  <si>
    <t>Назва величини</t>
  </si>
  <si>
    <t>Позначення</t>
  </si>
  <si>
    <t>Значення</t>
  </si>
  <si>
    <t>Одиниці виміру</t>
  </si>
  <si>
    <t>Маса основного важка</t>
  </si>
  <si>
    <t>M</t>
  </si>
  <si>
    <t>г</t>
  </si>
  <si>
    <t>Маса тертя</t>
  </si>
  <si>
    <t>m0</t>
  </si>
  <si>
    <t>Фіксована маса</t>
  </si>
  <si>
    <t>m</t>
  </si>
  <si>
    <t>Фіксована висота</t>
  </si>
  <si>
    <t>h_max</t>
  </si>
  <si>
    <t>см</t>
  </si>
  <si>
    <t>Повна маса</t>
  </si>
  <si>
    <t>m_повна</t>
  </si>
  <si>
    <t>Таблиця 1.1: Залежність часу від висоти</t>
  </si>
  <si>
    <t>Висота h (см)</t>
  </si>
  <si>
    <t>Спроба 1</t>
  </si>
  <si>
    <t>Спроба 2</t>
  </si>
  <si>
    <t>Спроба 3</t>
  </si>
  <si>
    <t>Спроба 4</t>
  </si>
  <si>
    <t>Спроба 5</t>
  </si>
  <si>
    <t>Загальне середнє t (с)</t>
  </si>
  <si>
    <t>Похибка dt (с)</t>
  </si>
  <si>
    <t>Похибка dh (м)</t>
  </si>
  <si>
    <t>Ос. 1</t>
  </si>
  <si>
    <t>Ос. 2</t>
  </si>
  <si>
    <t>Ос. 3</t>
  </si>
  <si>
    <t>Ос. 4</t>
  </si>
  <si>
    <t>Сер</t>
  </si>
  <si>
    <t>Таблиця 1.2: Залежність часу від маси</t>
  </si>
  <si>
    <t>Маса m (г)</t>
  </si>
  <si>
    <t>Коефіцієнт sqrt(M/m)</t>
  </si>
  <si>
    <t>Таблиця 2.1: Розрахунок прискорення a та прискорення вільного падіння g (Експеримент 1: залежність від висоти)</t>
  </si>
  <si>
    <t>Висота h (м)</t>
  </si>
  <si>
    <t>Середній час t (с)</t>
  </si>
  <si>
    <t>Прискорення a (м/с²)</t>
  </si>
  <si>
    <t>Квадрат часу t² (с²)</t>
  </si>
  <si>
    <t>Середнє значення</t>
  </si>
  <si>
    <t>Таблиця 2.2: Розрахунок прискорення a та прискорення вільного падіння g (Експеримент 2: залежність від маси)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</si>
</sst>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00000"/>
    <numFmt numFmtId="166" formatCode="0.0"/>
    <numFmt numFmtId="167" formatCode="0.0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Roboto"/>
    </font>
    <font/>
    <font>
      <b/>
      <sz val="10.0"/>
      <color theme="1"/>
      <name val="Roboto"/>
    </font>
    <font>
      <color rgb="FF181C1F"/>
      <name val="Roboto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A5F90"/>
        <bgColor rgb="FF3A5F90"/>
      </patternFill>
    </fill>
    <fill>
      <patternFill patternType="solid">
        <fgColor rgb="FFE0EAF4"/>
        <bgColor rgb="FFE0EAF4"/>
      </patternFill>
    </fill>
    <fill>
      <patternFill patternType="solid">
        <fgColor rgb="FF3B5F90"/>
        <bgColor rgb="FF3B5F90"/>
      </patternFill>
    </fill>
    <fill>
      <patternFill patternType="solid">
        <fgColor rgb="FFF8F8FF"/>
        <bgColor rgb="FFF8F8FF"/>
      </patternFill>
    </fill>
    <fill>
      <patternFill patternType="solid">
        <fgColor rgb="FFEDF2F9"/>
        <bgColor rgb="FFEDF2F9"/>
      </patternFill>
    </fill>
  </fills>
  <borders count="19">
    <border/>
    <border>
      <left style="thin">
        <color rgb="FFCCCCCC"/>
      </left>
      <top style="thin">
        <color rgb="FFCCCCCC"/>
      </top>
      <bottom style="thin">
        <color rgb="FFD8D8D8"/>
      </bottom>
    </border>
    <border>
      <top style="thin">
        <color rgb="FFCCCCCC"/>
      </top>
      <bottom style="thin">
        <color rgb="FFD8D8D8"/>
      </bottom>
    </border>
    <border>
      <right style="thin">
        <color rgb="FFCCCCCC"/>
      </right>
      <top style="thin">
        <color rgb="FFCCCCCC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CCCCCC"/>
      </bottom>
    </border>
    <border>
      <left style="thin">
        <color rgb="FF74777E"/>
      </left>
      <top style="thin">
        <color rgb="FF74777E"/>
      </top>
      <bottom style="thin">
        <color rgb="FF74777E"/>
      </bottom>
    </border>
    <border>
      <top style="thin">
        <color rgb="FF74777E"/>
      </top>
      <bottom style="thin">
        <color rgb="FF74777E"/>
      </bottom>
    </border>
    <border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74777E"/>
      </left>
      <right style="thin">
        <color rgb="FF74777E"/>
      </right>
      <top style="thin">
        <color rgb="FF74777E"/>
      </top>
    </border>
    <border>
      <left style="thin">
        <color rgb="FF74777E"/>
      </left>
      <right style="thin">
        <color rgb="FF74777E"/>
      </right>
      <bottom style="thin">
        <color rgb="FF74777E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CCCCCC"/>
      </left>
      <top style="thin">
        <color rgb="FFD8D8D8"/>
      </top>
      <bottom style="thin">
        <color rgb="FFCCCCCC"/>
      </bottom>
    </border>
    <border>
      <top style="thin">
        <color rgb="FFD8D8D8"/>
      </top>
      <bottom style="thin">
        <color rgb="FFCCCCCC"/>
      </bottom>
    </border>
    <border>
      <right style="thin">
        <color rgb="FFD8D8D8"/>
      </right>
      <top style="thin">
        <color rgb="FFD8D8D8"/>
      </top>
      <bottom style="thin">
        <color rgb="FFCCCCCC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1" numFmtId="4" xfId="0" applyAlignment="1" applyFont="1" applyNumberFormat="1">
      <alignment readingOrder="0"/>
    </xf>
    <xf borderId="0" fillId="0" fontId="1" numFmtId="2" xfId="0" applyFont="1" applyNumberFormat="1"/>
    <xf borderId="0" fillId="0" fontId="1" numFmtId="4" xfId="0" applyFont="1" applyNumberFormat="1"/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readingOrder="0" vertical="center"/>
    </xf>
    <xf borderId="5" fillId="3" fontId="5" numFmtId="0" xfId="0" applyAlignment="1" applyBorder="1" applyFill="1" applyFont="1">
      <alignment horizontal="center" readingOrder="0" vertical="center"/>
    </xf>
    <xf borderId="6" fillId="3" fontId="5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4" xfId="0" applyAlignment="1" applyBorder="1" applyFont="1" applyNumberFormat="1">
      <alignment horizontal="right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left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1" numFmtId="4" xfId="0" applyAlignment="1" applyBorder="1" applyFont="1" applyNumberFormat="1">
      <alignment horizontal="right" readingOrder="0" vertical="center"/>
    </xf>
    <xf borderId="9" fillId="0" fontId="1" numFmtId="0" xfId="0" applyAlignment="1" applyBorder="1" applyFont="1">
      <alignment horizontal="center" readingOrder="0" vertical="center"/>
    </xf>
    <xf borderId="10" fillId="4" fontId="3" numFmtId="0" xfId="0" applyAlignment="1" applyBorder="1" applyFill="1" applyFont="1">
      <alignment horizontal="center" shrinkToFit="0" wrapText="1"/>
    </xf>
    <xf borderId="11" fillId="0" fontId="4" numFmtId="0" xfId="0" applyBorder="1" applyFont="1"/>
    <xf borderId="12" fillId="0" fontId="4" numFmtId="0" xfId="0" applyBorder="1" applyFont="1"/>
    <xf borderId="13" fillId="4" fontId="3" numFmtId="0" xfId="0" applyAlignment="1" applyBorder="1" applyFill="1" applyFont="1">
      <alignment horizontal="center" shrinkToFit="0" wrapText="1"/>
    </xf>
    <xf borderId="14" fillId="0" fontId="4" numFmtId="0" xfId="0" applyBorder="1" applyFont="1"/>
    <xf borderId="15" fillId="4" fontId="3" numFmtId="0" xfId="0" applyAlignment="1" applyBorder="1" applyFill="1" applyFont="1">
      <alignment horizontal="center" shrinkToFit="0" wrapText="1"/>
    </xf>
    <xf borderId="15" fillId="5" fontId="6" numFmtId="0" xfId="0" applyAlignment="1" applyBorder="1" applyFill="1" applyFont="1">
      <alignment horizontal="center"/>
    </xf>
    <xf borderId="15" fillId="5" fontId="6" numFmtId="4" xfId="0" applyAlignment="1" applyBorder="1" applyFill="1" applyFont="1" applyNumberFormat="1">
      <alignment horizontal="center"/>
    </xf>
    <xf borderId="15" fillId="0" fontId="7" numFmtId="0" xfId="0" applyAlignment="1" applyBorder="1" applyFont="1">
      <alignment horizontal="center"/>
    </xf>
    <xf borderId="15" fillId="0" fontId="7" numFmtId="0" xfId="0" applyBorder="1" applyFont="1"/>
    <xf borderId="15" fillId="0" fontId="6" numFmtId="0" xfId="0" applyAlignment="1" applyBorder="1" applyFont="1">
      <alignment horizont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ill="1" applyFont="1">
      <alignment horizontal="center" readingOrder="0" shrinkToFit="0" vertical="center" wrapText="1"/>
    </xf>
    <xf borderId="6" fillId="3" fontId="5" numFmtId="0" xfId="0" applyAlignment="1" applyBorder="1" applyFill="1" applyFont="1">
      <alignment horizontal="center" readingOrder="0" shrinkToFit="0" vertical="center" wrapText="1"/>
    </xf>
    <xf borderId="6" fillId="3" fontId="5" numFmtId="0" xfId="0" applyAlignment="1" applyBorder="1" applyFill="1" applyFont="1">
      <alignment horizontal="center" shrinkToFit="0" vertical="center" wrapText="1"/>
    </xf>
    <xf borderId="4" fillId="0" fontId="1" numFmtId="166" xfId="0" applyAlignment="1" applyBorder="1" applyFont="1" applyNumberFormat="1">
      <alignment horizontal="right" vertical="center"/>
    </xf>
    <xf borderId="5" fillId="0" fontId="1" numFmtId="167" xfId="0" applyAlignment="1" applyBorder="1" applyFont="1" applyNumberFormat="1">
      <alignment horizontal="right" vertical="center"/>
    </xf>
    <xf borderId="6" fillId="0" fontId="1" numFmtId="2" xfId="0" applyAlignment="1" applyBorder="1" applyFont="1" applyNumberFormat="1">
      <alignment horizontal="right" vertical="center"/>
    </xf>
    <xf borderId="6" fillId="0" fontId="1" numFmtId="167" xfId="0" applyAlignment="1" applyBorder="1" applyFont="1" applyNumberFormat="1">
      <alignment horizontal="right" vertical="center"/>
    </xf>
    <xf borderId="16" fillId="6" fontId="2" numFmtId="0" xfId="0" applyAlignment="1" applyBorder="1" applyFill="1" applyFont="1">
      <alignment horizontal="center" readingOrder="0" vertical="center"/>
    </xf>
    <xf borderId="17" fillId="0" fontId="4" numFmtId="0" xfId="0" applyBorder="1" applyFont="1"/>
    <xf borderId="18" fillId="0" fontId="4" numFmtId="0" xfId="0" applyBorder="1" applyFont="1"/>
    <xf borderId="8" fillId="6" fontId="2" numFmtId="167" xfId="0" applyAlignment="1" applyBorder="1" applyFill="1" applyFont="1" applyNumberFormat="1">
      <alignment horizontal="right" vertical="center"/>
    </xf>
    <xf borderId="9" fillId="6" fontId="2" numFmtId="2" xfId="0" applyAlignment="1" applyBorder="1" applyFill="1" applyFont="1" applyNumberFormat="1">
      <alignment horizontal="right" vertical="center"/>
    </xf>
    <xf borderId="9" fillId="6" fontId="2" numFmtId="167" xfId="0" applyAlignment="1" applyBorder="1" applyFill="1" applyFont="1" applyNumberFormat="1">
      <alignment horizontal="right" vertical="center"/>
    </xf>
    <xf borderId="4" fillId="0" fontId="1" numFmtId="2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Залежність t² від h (Експеримент 1)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'Атвуд'!$F$28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3A5F90"/>
              </a:solidFill>
              <a:ln cmpd="sng">
                <a:solidFill>
                  <a:srgbClr val="3A5F90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'Атвуд'!$B$29:$B$33</c:f>
            </c:numRef>
          </c:xVal>
          <c:yVal>
            <c:numRef>
              <c:f>'Атвуд'!$F$29:$F$33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02096"/>
        <c:axId val="2145961356"/>
      </c:scatterChart>
      <c:valAx>
        <c:axId val="2004020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Висота h (м)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961356"/>
      </c:valAx>
      <c:valAx>
        <c:axId val="2145961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Квадрат часу t² (с²)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0209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Залежність часу від маси t(m) (Експеримент 2)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'Атвуд'!$C$37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C4C33"/>
              </a:solidFill>
              <a:ln cmpd="sng">
                <a:solidFill>
                  <a:srgbClr val="CC4C3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'Атвуд'!$A$38:$A$42</c:f>
            </c:numRef>
          </c:xVal>
          <c:yVal>
            <c:numRef>
              <c:f>'Атвуд'!$C$38:$C$42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50668"/>
        <c:axId val="1534968104"/>
      </c:scatterChart>
      <c:valAx>
        <c:axId val="2250506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Маса m (г)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968104"/>
      </c:valAx>
      <c:valAx>
        <c:axId val="1534968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Середній час t (с)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050668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</xdr:colOff>
      <xdr:row>26</xdr:row>
      <xdr:rowOff>0</xdr:rowOff>
    </xdr:from>
    <xdr:ext cx="5143500" cy="3429000"/>
    <xdr:graphicFrame>
      <xdr:nvGraphicFramePr>
        <xdr:cNvPr id="1" name="Chart 1" title="Залежність t² від h (Експеримент 1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95250</xdr:colOff>
      <xdr:row>26</xdr:row>
      <xdr:rowOff>0</xdr:rowOff>
    </xdr:from>
    <xdr:ext cx="5143500" cy="3429000"/>
    <xdr:graphicFrame>
      <xdr:nvGraphicFramePr>
        <xdr:cNvPr id="2" name="Chart 2" title="Залежність часу від маси t(m) (Експеримент 2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B1" s="1" t="s">
        <v>0</v>
      </c>
    </row>
    <row r="3">
      <c r="B3" s="1" t="s">
        <v>1</v>
      </c>
    </row>
    <row r="4">
      <c r="B4" s="1" t="s">
        <v>2</v>
      </c>
      <c r="C4" s="2">
        <v>9.81</v>
      </c>
    </row>
    <row r="5">
      <c r="B5" s="1" t="s">
        <v>3</v>
      </c>
      <c r="C5" s="2">
        <v>0.897</v>
      </c>
    </row>
    <row r="6">
      <c r="B6" s="1" t="s">
        <v>4</v>
      </c>
      <c r="C6" s="1">
        <v>4.0</v>
      </c>
    </row>
    <row r="7">
      <c r="B7" s="1" t="s">
        <v>5</v>
      </c>
      <c r="C7" s="1">
        <v>40.0</v>
      </c>
    </row>
    <row r="8">
      <c r="B8" s="1" t="s">
        <v>6</v>
      </c>
      <c r="C8" s="1">
        <v>40.0</v>
      </c>
    </row>
    <row r="9">
      <c r="B9" s="1" t="s">
        <v>7</v>
      </c>
      <c r="C9" s="1">
        <v>58.0</v>
      </c>
    </row>
    <row r="10">
      <c r="B10" s="1" t="s">
        <v>8</v>
      </c>
      <c r="C10" s="2">
        <v>186.5</v>
      </c>
    </row>
    <row r="11">
      <c r="B11" s="1" t="s">
        <v>9</v>
      </c>
      <c r="C11" s="1">
        <v>85.0</v>
      </c>
    </row>
    <row r="13">
      <c r="B13" s="1" t="s">
        <v>10</v>
      </c>
    </row>
    <row r="14">
      <c r="B14" s="1" t="s">
        <v>11</v>
      </c>
      <c r="C14" s="1" t="s">
        <v>12</v>
      </c>
      <c r="F14" s="1" t="s">
        <v>13</v>
      </c>
    </row>
    <row r="15">
      <c r="B15" s="1" t="s">
        <v>14</v>
      </c>
      <c r="C15" s="1">
        <v>297.0</v>
      </c>
      <c r="F15" s="1">
        <v>489.0</v>
      </c>
    </row>
    <row r="17">
      <c r="B17" s="1" t="s">
        <v>15</v>
      </c>
    </row>
    <row r="18">
      <c r="B18" s="1" t="s">
        <v>16</v>
      </c>
      <c r="C18" s="1" t="s">
        <v>12</v>
      </c>
      <c r="G18" s="1" t="s">
        <v>13</v>
      </c>
    </row>
    <row r="19">
      <c r="B19" s="1"/>
      <c r="C19" s="3" t="s">
        <v>17</v>
      </c>
      <c r="D19" s="3" t="s">
        <v>18</v>
      </c>
      <c r="E19" s="3" t="s">
        <v>19</v>
      </c>
      <c r="G19" s="3" t="s">
        <v>17</v>
      </c>
      <c r="H19" s="3" t="s">
        <v>18</v>
      </c>
      <c r="I19" s="3" t="s">
        <v>19</v>
      </c>
    </row>
    <row r="20">
      <c r="B20" s="1">
        <v>1.0</v>
      </c>
      <c r="C20" s="4">
        <v>3.36</v>
      </c>
      <c r="D20" s="4">
        <v>3.84</v>
      </c>
      <c r="E20" s="4">
        <f t="shared" ref="E20:E27" si="1">AVERAGE(C20:D20)</f>
        <v>3.6</v>
      </c>
      <c r="G20" s="1">
        <v>4.18</v>
      </c>
      <c r="H20" s="4">
        <v>4.07</v>
      </c>
      <c r="I20" s="5">
        <f t="shared" ref="I20:I29" si="2">AVERAGE(G20:H20)</f>
        <v>4.125</v>
      </c>
    </row>
    <row r="21">
      <c r="B21" s="1">
        <v>2.0</v>
      </c>
      <c r="C21" s="4">
        <v>3.66</v>
      </c>
      <c r="D21" s="4">
        <v>3.76</v>
      </c>
      <c r="E21" s="6">
        <f t="shared" si="1"/>
        <v>3.71</v>
      </c>
      <c r="G21" s="1">
        <v>3.65</v>
      </c>
      <c r="H21" s="1">
        <v>3.76</v>
      </c>
      <c r="I21" s="5">
        <f t="shared" si="2"/>
        <v>3.705</v>
      </c>
    </row>
    <row r="22">
      <c r="B22" s="1">
        <v>3.0</v>
      </c>
      <c r="C22" s="4">
        <v>3.33</v>
      </c>
      <c r="D22" s="4">
        <v>3.49</v>
      </c>
      <c r="E22" s="6">
        <f t="shared" si="1"/>
        <v>3.41</v>
      </c>
      <c r="G22" s="1">
        <v>3.45</v>
      </c>
      <c r="H22" s="1">
        <v>3.54</v>
      </c>
      <c r="I22" s="5">
        <f t="shared" si="2"/>
        <v>3.495</v>
      </c>
    </row>
    <row r="23">
      <c r="B23" s="1">
        <v>4.0</v>
      </c>
      <c r="C23" s="4">
        <v>3.51</v>
      </c>
      <c r="D23" s="4">
        <v>3.52</v>
      </c>
      <c r="E23" s="6">
        <f t="shared" si="1"/>
        <v>3.515</v>
      </c>
      <c r="G23" s="2">
        <v>3.5</v>
      </c>
      <c r="H23" s="1">
        <v>3.64</v>
      </c>
      <c r="I23" s="5">
        <f t="shared" si="2"/>
        <v>3.57</v>
      </c>
    </row>
    <row r="24">
      <c r="B24" s="1">
        <v>5.0</v>
      </c>
      <c r="C24" s="4">
        <v>3.46</v>
      </c>
      <c r="D24" s="4">
        <v>3.39</v>
      </c>
      <c r="E24" s="6">
        <f t="shared" si="1"/>
        <v>3.425</v>
      </c>
      <c r="G24" s="1">
        <v>3.35</v>
      </c>
      <c r="H24" s="1">
        <v>3.72</v>
      </c>
      <c r="I24" s="5">
        <f t="shared" si="2"/>
        <v>3.535</v>
      </c>
    </row>
    <row r="25">
      <c r="B25" s="1">
        <v>6.0</v>
      </c>
      <c r="C25" s="4">
        <v>3.61</v>
      </c>
      <c r="D25" s="4">
        <v>3.56</v>
      </c>
      <c r="E25" s="6">
        <f t="shared" si="1"/>
        <v>3.585</v>
      </c>
      <c r="G25" s="1">
        <v>3.36</v>
      </c>
      <c r="H25" s="1">
        <v>3.59</v>
      </c>
      <c r="I25" s="5">
        <f t="shared" si="2"/>
        <v>3.475</v>
      </c>
    </row>
    <row r="26">
      <c r="B26" s="1">
        <v>7.0</v>
      </c>
      <c r="C26" s="4">
        <v>3.45</v>
      </c>
      <c r="D26" s="4">
        <v>3.32</v>
      </c>
      <c r="E26" s="6">
        <f t="shared" si="1"/>
        <v>3.385</v>
      </c>
      <c r="G26" s="1">
        <v>3.5</v>
      </c>
      <c r="H26" s="1">
        <v>3.69</v>
      </c>
      <c r="I26" s="5">
        <f t="shared" si="2"/>
        <v>3.595</v>
      </c>
    </row>
    <row r="27">
      <c r="B27" s="1">
        <v>8.0</v>
      </c>
      <c r="C27" s="4">
        <v>3.26</v>
      </c>
      <c r="D27" s="4">
        <v>3.59</v>
      </c>
      <c r="E27" s="6">
        <f t="shared" si="1"/>
        <v>3.425</v>
      </c>
      <c r="G27" s="1">
        <v>3.43</v>
      </c>
      <c r="H27" s="1">
        <v>3.64</v>
      </c>
      <c r="I27" s="5">
        <f t="shared" si="2"/>
        <v>3.535</v>
      </c>
    </row>
    <row r="28">
      <c r="B28" s="1">
        <v>9.0</v>
      </c>
      <c r="C28" s="4">
        <v>3.15</v>
      </c>
      <c r="D28" s="4">
        <v>3.34</v>
      </c>
      <c r="E28" s="4">
        <v>3.34</v>
      </c>
      <c r="G28" s="1">
        <v>3.53</v>
      </c>
      <c r="H28" s="1">
        <v>3.57</v>
      </c>
      <c r="I28" s="5">
        <f t="shared" si="2"/>
        <v>3.55</v>
      </c>
    </row>
    <row r="29">
      <c r="B29" s="1">
        <v>10.0</v>
      </c>
      <c r="C29" s="4">
        <v>3.21</v>
      </c>
      <c r="D29" s="4">
        <v>3.31</v>
      </c>
      <c r="E29" s="6">
        <f>AVERAGE(C29:D29)</f>
        <v>3.26</v>
      </c>
      <c r="G29" s="1">
        <v>3.61</v>
      </c>
      <c r="H29" s="1">
        <v>3.71</v>
      </c>
      <c r="I29" s="5">
        <f t="shared" si="2"/>
        <v>3.66</v>
      </c>
    </row>
    <row r="30">
      <c r="B30" s="1" t="s">
        <v>20</v>
      </c>
      <c r="C30" s="5">
        <f t="shared" ref="C30:E30" si="3">AVERAGE(C20:C29)</f>
        <v>3.4</v>
      </c>
      <c r="D30" s="5">
        <f t="shared" si="3"/>
        <v>3.512</v>
      </c>
      <c r="E30" s="6">
        <f t="shared" si="3"/>
        <v>3.4655</v>
      </c>
      <c r="G30" s="5">
        <f t="shared" ref="G30:I30" si="4">AVERAGE(G20:G29)</f>
        <v>3.556</v>
      </c>
      <c r="H30" s="5">
        <f t="shared" si="4"/>
        <v>3.693</v>
      </c>
      <c r="I30" s="5">
        <f t="shared" si="4"/>
        <v>3.6245</v>
      </c>
    </row>
    <row r="32">
      <c r="B32" s="1" t="s">
        <v>21</v>
      </c>
    </row>
    <row r="33">
      <c r="B33" s="1" t="s">
        <v>11</v>
      </c>
      <c r="C33" s="1" t="s">
        <v>12</v>
      </c>
      <c r="F33" s="1" t="s">
        <v>13</v>
      </c>
    </row>
    <row r="34">
      <c r="B34" s="1" t="s">
        <v>22</v>
      </c>
      <c r="C34" s="7">
        <f>(C10+C11+C15)/1000</f>
        <v>0.5685</v>
      </c>
      <c r="D34" s="7"/>
      <c r="E34" s="7"/>
      <c r="F34" s="8">
        <f>(C10+C11+F15)/1000</f>
        <v>0.7605</v>
      </c>
      <c r="G34" s="7"/>
      <c r="H34" s="7"/>
    </row>
    <row r="35">
      <c r="B35" s="1" t="s">
        <v>23</v>
      </c>
      <c r="C35" s="9">
        <f>C34*(C6/1000)^2*(C4*E30^2/(2*C5/1000)-1)</f>
        <v>0.5973408472</v>
      </c>
      <c r="D35" s="10"/>
      <c r="E35" s="10"/>
      <c r="F35" s="10">
        <f>F34*(C6/1000)^2*(C4*I30^2/(2*C5/1000)-1)</f>
        <v>0.8740895582</v>
      </c>
      <c r="G35" s="10"/>
      <c r="H35" s="10"/>
    </row>
    <row r="36">
      <c r="B36" s="1" t="s">
        <v>24</v>
      </c>
      <c r="C36" s="10">
        <f>C15/1000*((C8/1000)^2+(C9/1000)^2)/2 + C11/1000*((C6/1000)^2+(C8/1000)^2)/2 + C10/1000*(C6/1000)^2/2</f>
        <v>0.000807326</v>
      </c>
      <c r="D36" s="10"/>
      <c r="E36" s="10"/>
      <c r="F36" s="10">
        <f>F15/1000*((C8/1000)^2+(C9/1000)^2)/2 + C11/1000*((C6/1000)^2+(C8/1000)^2)/2 + C10/1000*(C6/1000)^2/2</f>
        <v>0.00128387</v>
      </c>
      <c r="G36" s="10"/>
      <c r="H36" s="10"/>
    </row>
    <row r="37">
      <c r="B37" s="1" t="s">
        <v>25</v>
      </c>
      <c r="C37" s="10">
        <f>C35-C36</f>
        <v>0.5965335212</v>
      </c>
      <c r="D37" s="10"/>
      <c r="E37" s="10"/>
      <c r="F37" s="10">
        <f>F35-F36</f>
        <v>0.8728056882</v>
      </c>
      <c r="G37" s="10"/>
      <c r="H37" s="10"/>
    </row>
    <row r="38">
      <c r="B38" s="1" t="s">
        <v>26</v>
      </c>
      <c r="C38" s="11">
        <f>C37/C35*100</f>
        <v>99.86484668</v>
      </c>
      <c r="D38" s="12"/>
      <c r="E38" s="12"/>
      <c r="F38" s="11">
        <f>F37/F35*100</f>
        <v>99.85311917</v>
      </c>
      <c r="G38" s="12"/>
      <c r="H38" s="12"/>
    </row>
  </sheetData>
  <mergeCells count="6">
    <mergeCell ref="C14:E14"/>
    <mergeCell ref="F14:H14"/>
    <mergeCell ref="C18:E18"/>
    <mergeCell ref="G18:I18"/>
    <mergeCell ref="C33:E33"/>
    <mergeCell ref="F33:H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1.13"/>
    <col customWidth="1" min="3" max="3" width="12.88"/>
    <col customWidth="1" min="4" max="4" width="13.38"/>
    <col customWidth="1" min="5" max="5" width="12.13"/>
    <col customWidth="1" min="6" max="6" width="5.88"/>
    <col customWidth="1" min="7" max="8" width="9.0"/>
    <col customWidth="1" min="9" max="10" width="5.25"/>
    <col customWidth="1" min="11" max="11" width="5.88"/>
    <col customWidth="1" min="12" max="13" width="9.0"/>
    <col customWidth="1" min="14" max="15" width="5.25"/>
    <col customWidth="1" min="16" max="16" width="5.88"/>
    <col customWidth="1" min="17" max="18" width="9.0"/>
    <col customWidth="1" min="19" max="20" width="5.25"/>
    <col customWidth="1" min="21" max="21" width="5.88"/>
    <col customWidth="1" min="22" max="23" width="9.0"/>
    <col customWidth="1" min="24" max="25" width="5.25"/>
    <col customWidth="1" min="26" max="26" width="5.88"/>
    <col customWidth="1" min="27" max="28" width="12.13"/>
    <col customWidth="1" min="29" max="29" width="11.38"/>
  </cols>
  <sheetData>
    <row r="1">
      <c r="A1" s="13" t="s">
        <v>1</v>
      </c>
      <c r="B1" s="14"/>
      <c r="C1" s="14"/>
      <c r="D1" s="15"/>
    </row>
    <row r="2">
      <c r="A2" s="16" t="s">
        <v>27</v>
      </c>
      <c r="B2" s="17" t="s">
        <v>28</v>
      </c>
      <c r="C2" s="17" t="s">
        <v>29</v>
      </c>
      <c r="D2" s="18" t="s">
        <v>30</v>
      </c>
    </row>
    <row r="3">
      <c r="A3" s="19" t="s">
        <v>31</v>
      </c>
      <c r="B3" s="20" t="s">
        <v>32</v>
      </c>
      <c r="C3" s="21">
        <v>106.5</v>
      </c>
      <c r="D3" s="22" t="s">
        <v>33</v>
      </c>
    </row>
    <row r="4">
      <c r="A4" s="19" t="s">
        <v>34</v>
      </c>
      <c r="B4" s="20" t="s">
        <v>35</v>
      </c>
      <c r="C4" s="21">
        <v>5.14</v>
      </c>
      <c r="D4" s="22" t="s">
        <v>33</v>
      </c>
    </row>
    <row r="5">
      <c r="A5" s="19" t="s">
        <v>36</v>
      </c>
      <c r="B5" s="20" t="s">
        <v>37</v>
      </c>
      <c r="C5" s="21">
        <v>51.17</v>
      </c>
      <c r="D5" s="22" t="s">
        <v>33</v>
      </c>
    </row>
    <row r="6">
      <c r="A6" s="19" t="s">
        <v>38</v>
      </c>
      <c r="B6" s="20" t="s">
        <v>39</v>
      </c>
      <c r="C6" s="21">
        <v>97.5</v>
      </c>
      <c r="D6" s="22" t="s">
        <v>40</v>
      </c>
    </row>
    <row r="7">
      <c r="A7" s="23" t="s">
        <v>41</v>
      </c>
      <c r="B7" s="24" t="s">
        <v>42</v>
      </c>
      <c r="C7" s="25">
        <v>157.55</v>
      </c>
      <c r="D7" s="26" t="s">
        <v>33</v>
      </c>
    </row>
    <row r="9">
      <c r="A9" s="27" t="s">
        <v>43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9"/>
    </row>
    <row r="10">
      <c r="A10" s="30" t="s">
        <v>44</v>
      </c>
      <c r="B10" s="27" t="s">
        <v>45</v>
      </c>
      <c r="C10" s="28"/>
      <c r="D10" s="28"/>
      <c r="E10" s="28"/>
      <c r="F10" s="29"/>
      <c r="G10" s="27" t="s">
        <v>46</v>
      </c>
      <c r="H10" s="28"/>
      <c r="I10" s="28"/>
      <c r="J10" s="28"/>
      <c r="K10" s="29"/>
      <c r="L10" s="27" t="s">
        <v>47</v>
      </c>
      <c r="M10" s="28"/>
      <c r="N10" s="28"/>
      <c r="O10" s="28"/>
      <c r="P10" s="29"/>
      <c r="Q10" s="27" t="s">
        <v>48</v>
      </c>
      <c r="R10" s="28"/>
      <c r="S10" s="28"/>
      <c r="T10" s="28"/>
      <c r="U10" s="29"/>
      <c r="V10" s="27" t="s">
        <v>49</v>
      </c>
      <c r="W10" s="28"/>
      <c r="X10" s="28"/>
      <c r="Y10" s="28"/>
      <c r="Z10" s="29"/>
      <c r="AA10" s="30" t="s">
        <v>50</v>
      </c>
      <c r="AB10" s="30" t="s">
        <v>51</v>
      </c>
      <c r="AC10" s="30" t="s">
        <v>52</v>
      </c>
    </row>
    <row r="11">
      <c r="A11" s="31"/>
      <c r="B11" s="32" t="s">
        <v>53</v>
      </c>
      <c r="C11" s="32" t="s">
        <v>54</v>
      </c>
      <c r="D11" s="32" t="s">
        <v>55</v>
      </c>
      <c r="E11" s="32" t="s">
        <v>56</v>
      </c>
      <c r="F11" s="32" t="s">
        <v>57</v>
      </c>
      <c r="G11" s="32" t="s">
        <v>53</v>
      </c>
      <c r="H11" s="32" t="s">
        <v>54</v>
      </c>
      <c r="I11" s="32" t="s">
        <v>55</v>
      </c>
      <c r="J11" s="32" t="s">
        <v>56</v>
      </c>
      <c r="K11" s="32" t="s">
        <v>57</v>
      </c>
      <c r="L11" s="32" t="s">
        <v>53</v>
      </c>
      <c r="M11" s="32" t="s">
        <v>54</v>
      </c>
      <c r="N11" s="32" t="s">
        <v>55</v>
      </c>
      <c r="O11" s="32" t="s">
        <v>56</v>
      </c>
      <c r="P11" s="32" t="s">
        <v>57</v>
      </c>
      <c r="Q11" s="32" t="s">
        <v>53</v>
      </c>
      <c r="R11" s="32" t="s">
        <v>54</v>
      </c>
      <c r="S11" s="32" t="s">
        <v>55</v>
      </c>
      <c r="T11" s="32" t="s">
        <v>56</v>
      </c>
      <c r="U11" s="32" t="s">
        <v>57</v>
      </c>
      <c r="V11" s="32" t="s">
        <v>53</v>
      </c>
      <c r="W11" s="32" t="s">
        <v>54</v>
      </c>
      <c r="X11" s="32" t="s">
        <v>55</v>
      </c>
      <c r="Y11" s="32" t="s">
        <v>56</v>
      </c>
      <c r="Z11" s="32" t="s">
        <v>57</v>
      </c>
      <c r="AA11" s="31"/>
      <c r="AB11" s="31"/>
      <c r="AC11" s="31"/>
    </row>
    <row r="12">
      <c r="A12" s="33">
        <v>97.5</v>
      </c>
      <c r="B12" s="33">
        <v>1.06</v>
      </c>
      <c r="C12" s="34">
        <v>1.06</v>
      </c>
      <c r="D12" s="33">
        <v>1.44</v>
      </c>
      <c r="E12" s="33">
        <v>1.48</v>
      </c>
      <c r="F12" s="33">
        <f t="shared" ref="F12:F16" si="1">IFERROR(AVERAGE(B12:E12), "")</f>
        <v>1.26</v>
      </c>
      <c r="G12" s="33">
        <v>0.81</v>
      </c>
      <c r="H12" s="33">
        <v>0.9</v>
      </c>
      <c r="I12" s="33">
        <v>0.98</v>
      </c>
      <c r="J12" s="33">
        <v>1.17</v>
      </c>
      <c r="K12" s="33">
        <f t="shared" ref="K12:K16" si="2">IFERROR(AVERAGE(G12:J12), "")</f>
        <v>0.965</v>
      </c>
      <c r="L12" s="33">
        <v>1.13</v>
      </c>
      <c r="M12" s="33">
        <v>0.98</v>
      </c>
      <c r="N12" s="33">
        <v>1.21</v>
      </c>
      <c r="O12" s="33">
        <v>1.17</v>
      </c>
      <c r="P12" s="33">
        <f t="shared" ref="P12:P16" si="3">IFERROR(AVERAGE(L12:O12), "")</f>
        <v>1.1225</v>
      </c>
      <c r="Q12" s="33">
        <v>1.19</v>
      </c>
      <c r="R12" s="33">
        <v>0.73</v>
      </c>
      <c r="S12" s="33">
        <v>0.98</v>
      </c>
      <c r="T12" s="35">
        <v>1.21</v>
      </c>
      <c r="U12" s="35">
        <f t="shared" ref="U12:U16" si="4">IFERROR(AVERAGE(Q12:T12), "")</f>
        <v>1.0275</v>
      </c>
      <c r="V12" s="35">
        <v>0.87</v>
      </c>
      <c r="W12" s="35">
        <v>1.3</v>
      </c>
      <c r="X12" s="35">
        <v>0.98</v>
      </c>
      <c r="Y12" s="35">
        <v>0.94</v>
      </c>
      <c r="Z12" s="35">
        <f t="shared" ref="Z12:Z16" si="5">IFERROR(AVERAGE(V12:Y12), "")</f>
        <v>1.0225</v>
      </c>
      <c r="AA12" s="35">
        <f t="shared" ref="AA12:AA16" si="6">IFERROR(AVERAGE(F12, K12, P12, U12, Z12), "")</f>
        <v>1.0795</v>
      </c>
      <c r="AB12" s="36"/>
      <c r="AC12" s="36"/>
    </row>
    <row r="13">
      <c r="A13" s="37">
        <v>91.8</v>
      </c>
      <c r="B13" s="37">
        <v>0.86</v>
      </c>
      <c r="C13" s="37">
        <v>1.19</v>
      </c>
      <c r="D13" s="37">
        <v>0.98</v>
      </c>
      <c r="E13" s="37">
        <v>0.8</v>
      </c>
      <c r="F13" s="37">
        <f t="shared" si="1"/>
        <v>0.9575</v>
      </c>
      <c r="G13" s="37">
        <v>0.81</v>
      </c>
      <c r="H13" s="37">
        <v>1.02</v>
      </c>
      <c r="I13" s="37">
        <v>0.86</v>
      </c>
      <c r="J13" s="37">
        <v>0.83</v>
      </c>
      <c r="K13" s="37">
        <f t="shared" si="2"/>
        <v>0.88</v>
      </c>
      <c r="L13" s="37">
        <v>0.94</v>
      </c>
      <c r="M13" s="37">
        <v>1.18</v>
      </c>
      <c r="N13" s="37">
        <v>1.03</v>
      </c>
      <c r="O13" s="37">
        <v>0.86</v>
      </c>
      <c r="P13" s="37">
        <f t="shared" si="3"/>
        <v>1.0025</v>
      </c>
      <c r="Q13" s="37">
        <v>1.0</v>
      </c>
      <c r="R13" s="37">
        <v>1.1</v>
      </c>
      <c r="S13" s="37">
        <v>0.94</v>
      </c>
      <c r="T13" s="35">
        <v>0.91</v>
      </c>
      <c r="U13" s="35">
        <f t="shared" si="4"/>
        <v>0.9875</v>
      </c>
      <c r="V13" s="35">
        <v>1.0</v>
      </c>
      <c r="W13" s="35">
        <v>1.17</v>
      </c>
      <c r="X13" s="35">
        <v>0.93</v>
      </c>
      <c r="Y13" s="35">
        <v>0.83</v>
      </c>
      <c r="Z13" s="35">
        <f t="shared" si="5"/>
        <v>0.9825</v>
      </c>
      <c r="AA13" s="35">
        <f t="shared" si="6"/>
        <v>0.962</v>
      </c>
      <c r="AB13" s="36"/>
      <c r="AC13" s="36"/>
    </row>
    <row r="14">
      <c r="A14" s="33">
        <v>86.3</v>
      </c>
      <c r="B14" s="33">
        <v>0.81</v>
      </c>
      <c r="C14" s="33">
        <v>0.81</v>
      </c>
      <c r="D14" s="33">
        <v>1.08</v>
      </c>
      <c r="E14" s="33">
        <v>0.95</v>
      </c>
      <c r="F14" s="33">
        <f t="shared" si="1"/>
        <v>0.9125</v>
      </c>
      <c r="G14" s="33">
        <v>0.81</v>
      </c>
      <c r="H14" s="33">
        <v>0.83</v>
      </c>
      <c r="I14" s="33">
        <v>0.94</v>
      </c>
      <c r="J14" s="33">
        <v>1.18</v>
      </c>
      <c r="K14" s="33">
        <f t="shared" si="2"/>
        <v>0.94</v>
      </c>
      <c r="L14" s="33">
        <v>0.8</v>
      </c>
      <c r="M14" s="33">
        <v>1.26</v>
      </c>
      <c r="N14" s="33">
        <v>1.14</v>
      </c>
      <c r="O14" s="33">
        <v>0.93</v>
      </c>
      <c r="P14" s="33">
        <f t="shared" si="3"/>
        <v>1.0325</v>
      </c>
      <c r="Q14" s="33">
        <v>0.92</v>
      </c>
      <c r="R14" s="33">
        <v>1.3</v>
      </c>
      <c r="S14" s="33">
        <v>0.98</v>
      </c>
      <c r="T14" s="35">
        <v>1.17</v>
      </c>
      <c r="U14" s="35">
        <f t="shared" si="4"/>
        <v>1.0925</v>
      </c>
      <c r="V14" s="35">
        <v>0.87</v>
      </c>
      <c r="W14" s="35">
        <v>0.99</v>
      </c>
      <c r="X14" s="35">
        <v>1.17</v>
      </c>
      <c r="Y14" s="35">
        <v>0.81</v>
      </c>
      <c r="Z14" s="35">
        <f t="shared" si="5"/>
        <v>0.96</v>
      </c>
      <c r="AA14" s="35">
        <f t="shared" si="6"/>
        <v>0.9875</v>
      </c>
      <c r="AB14" s="36"/>
      <c r="AC14" s="36"/>
    </row>
    <row r="15">
      <c r="A15" s="37">
        <v>80.2</v>
      </c>
      <c r="B15" s="37">
        <v>0.93</v>
      </c>
      <c r="C15" s="37">
        <v>0.98</v>
      </c>
      <c r="D15" s="37">
        <v>0.79</v>
      </c>
      <c r="E15" s="37">
        <v>0.9</v>
      </c>
      <c r="F15" s="37">
        <f t="shared" si="1"/>
        <v>0.9</v>
      </c>
      <c r="G15" s="37">
        <v>0.67</v>
      </c>
      <c r="H15" s="37">
        <v>1.01</v>
      </c>
      <c r="I15" s="37">
        <v>1.06</v>
      </c>
      <c r="J15" s="37">
        <v>1.01</v>
      </c>
      <c r="K15" s="37">
        <f t="shared" si="2"/>
        <v>0.9375</v>
      </c>
      <c r="L15" s="37">
        <v>0.74</v>
      </c>
      <c r="M15" s="37">
        <v>0.84</v>
      </c>
      <c r="N15" s="37">
        <v>0.84</v>
      </c>
      <c r="O15" s="37">
        <v>0.95</v>
      </c>
      <c r="P15" s="37">
        <f t="shared" si="3"/>
        <v>0.8425</v>
      </c>
      <c r="Q15" s="37">
        <v>0.8</v>
      </c>
      <c r="R15" s="37">
        <v>1.01</v>
      </c>
      <c r="S15" s="37">
        <v>0.94</v>
      </c>
      <c r="T15" s="35">
        <v>0.83</v>
      </c>
      <c r="U15" s="35">
        <f t="shared" si="4"/>
        <v>0.895</v>
      </c>
      <c r="V15" s="35">
        <v>0.73</v>
      </c>
      <c r="W15" s="35">
        <v>0.98</v>
      </c>
      <c r="X15" s="35">
        <v>0.83</v>
      </c>
      <c r="Y15" s="35">
        <v>0.86</v>
      </c>
      <c r="Z15" s="35">
        <f t="shared" si="5"/>
        <v>0.85</v>
      </c>
      <c r="AA15" s="35">
        <f t="shared" si="6"/>
        <v>0.885</v>
      </c>
      <c r="AB15" s="36"/>
      <c r="AC15" s="36"/>
    </row>
    <row r="16">
      <c r="A16" s="33">
        <v>74.6</v>
      </c>
      <c r="B16" s="33">
        <v>0.81</v>
      </c>
      <c r="C16" s="33">
        <v>1.02</v>
      </c>
      <c r="D16" s="33">
        <v>0.91</v>
      </c>
      <c r="E16" s="33">
        <v>0.81</v>
      </c>
      <c r="F16" s="33">
        <f t="shared" si="1"/>
        <v>0.8875</v>
      </c>
      <c r="G16" s="33">
        <v>0.67</v>
      </c>
      <c r="H16" s="33">
        <v>1.05</v>
      </c>
      <c r="I16" s="33">
        <v>0.78</v>
      </c>
      <c r="J16" s="33">
        <v>0.83</v>
      </c>
      <c r="K16" s="33">
        <f t="shared" si="2"/>
        <v>0.8325</v>
      </c>
      <c r="L16" s="33">
        <v>0.73</v>
      </c>
      <c r="M16" s="33">
        <v>0.92</v>
      </c>
      <c r="N16" s="33">
        <v>0.83</v>
      </c>
      <c r="O16" s="33">
        <v>0.81</v>
      </c>
      <c r="P16" s="33">
        <f t="shared" si="3"/>
        <v>0.8225</v>
      </c>
      <c r="Q16" s="33">
        <v>0.67</v>
      </c>
      <c r="R16" s="33">
        <v>0.88</v>
      </c>
      <c r="S16" s="33">
        <v>0.76</v>
      </c>
      <c r="T16" s="35">
        <v>1.0</v>
      </c>
      <c r="U16" s="35">
        <f t="shared" si="4"/>
        <v>0.8275</v>
      </c>
      <c r="V16" s="35">
        <v>0.8</v>
      </c>
      <c r="W16" s="35">
        <v>0.93</v>
      </c>
      <c r="X16" s="35">
        <v>0.97</v>
      </c>
      <c r="Y16" s="35">
        <v>0.68</v>
      </c>
      <c r="Z16" s="35">
        <f t="shared" si="5"/>
        <v>0.845</v>
      </c>
      <c r="AA16" s="35">
        <f t="shared" si="6"/>
        <v>0.843</v>
      </c>
      <c r="AB16" s="36"/>
      <c r="AC16" s="36"/>
    </row>
    <row r="18">
      <c r="A18" s="27" t="s">
        <v>58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9"/>
    </row>
    <row r="19">
      <c r="A19" s="30" t="s">
        <v>59</v>
      </c>
      <c r="B19" s="30" t="s">
        <v>60</v>
      </c>
      <c r="C19" s="27" t="s">
        <v>45</v>
      </c>
      <c r="D19" s="28"/>
      <c r="E19" s="28"/>
      <c r="F19" s="28"/>
      <c r="G19" s="29"/>
      <c r="H19" s="27" t="s">
        <v>46</v>
      </c>
      <c r="I19" s="28"/>
      <c r="J19" s="28"/>
      <c r="K19" s="28"/>
      <c r="L19" s="29"/>
      <c r="M19" s="27" t="s">
        <v>47</v>
      </c>
      <c r="N19" s="28"/>
      <c r="O19" s="28"/>
      <c r="P19" s="28"/>
      <c r="Q19" s="29"/>
      <c r="R19" s="27" t="s">
        <v>48</v>
      </c>
      <c r="S19" s="28"/>
      <c r="T19" s="28"/>
      <c r="U19" s="28"/>
      <c r="V19" s="29"/>
      <c r="W19" s="27" t="s">
        <v>49</v>
      </c>
      <c r="X19" s="28"/>
      <c r="Y19" s="28"/>
      <c r="Z19" s="28"/>
      <c r="AA19" s="29"/>
      <c r="AB19" s="30" t="s">
        <v>50</v>
      </c>
      <c r="AC19" s="30" t="s">
        <v>51</v>
      </c>
    </row>
    <row r="20">
      <c r="A20" s="31"/>
      <c r="B20" s="31"/>
      <c r="C20" s="32" t="s">
        <v>53</v>
      </c>
      <c r="D20" s="32" t="s">
        <v>54</v>
      </c>
      <c r="E20" s="32" t="s">
        <v>55</v>
      </c>
      <c r="F20" s="32" t="s">
        <v>56</v>
      </c>
      <c r="G20" s="32" t="s">
        <v>57</v>
      </c>
      <c r="H20" s="32" t="s">
        <v>53</v>
      </c>
      <c r="I20" s="32" t="s">
        <v>54</v>
      </c>
      <c r="J20" s="32" t="s">
        <v>55</v>
      </c>
      <c r="K20" s="32" t="s">
        <v>56</v>
      </c>
      <c r="L20" s="32" t="s">
        <v>57</v>
      </c>
      <c r="M20" s="32" t="s">
        <v>53</v>
      </c>
      <c r="N20" s="32" t="s">
        <v>54</v>
      </c>
      <c r="O20" s="32" t="s">
        <v>55</v>
      </c>
      <c r="P20" s="32" t="s">
        <v>56</v>
      </c>
      <c r="Q20" s="32" t="s">
        <v>57</v>
      </c>
      <c r="R20" s="32" t="s">
        <v>53</v>
      </c>
      <c r="S20" s="32" t="s">
        <v>54</v>
      </c>
      <c r="T20" s="32" t="s">
        <v>55</v>
      </c>
      <c r="U20" s="32" t="s">
        <v>56</v>
      </c>
      <c r="V20" s="32" t="s">
        <v>57</v>
      </c>
      <c r="W20" s="32" t="s">
        <v>53</v>
      </c>
      <c r="X20" s="32" t="s">
        <v>54</v>
      </c>
      <c r="Y20" s="32" t="s">
        <v>55</v>
      </c>
      <c r="Z20" s="32" t="s">
        <v>56</v>
      </c>
      <c r="AA20" s="32" t="s">
        <v>57</v>
      </c>
      <c r="AB20" s="31"/>
      <c r="AC20" s="31"/>
    </row>
    <row r="21">
      <c r="A21" s="33">
        <v>30.32</v>
      </c>
      <c r="B21" s="33">
        <f t="shared" ref="B21:B25" si="7">IFERROR(SQRT($C$3/A21), "")</f>
        <v>1.87417528</v>
      </c>
      <c r="C21" s="33">
        <v>1.41</v>
      </c>
      <c r="D21" s="33">
        <v>1.46</v>
      </c>
      <c r="E21" s="33">
        <v>1.46</v>
      </c>
      <c r="F21" s="33">
        <v>1.58</v>
      </c>
      <c r="G21" s="33">
        <f t="shared" ref="G21:G25" si="8">IFERROR(AVERAGE(C21:F21), "")</f>
        <v>1.4775</v>
      </c>
      <c r="H21" s="33">
        <v>1.2</v>
      </c>
      <c r="I21" s="33">
        <v>1.45</v>
      </c>
      <c r="J21" s="33">
        <v>1.41</v>
      </c>
      <c r="K21" s="33">
        <v>1.4</v>
      </c>
      <c r="L21" s="33">
        <f t="shared" ref="L21:L25" si="9">IFERROR(AVERAGE(H21:K21), "")</f>
        <v>1.365</v>
      </c>
      <c r="M21" s="33">
        <v>1.46</v>
      </c>
      <c r="N21" s="33">
        <v>1.49</v>
      </c>
      <c r="O21" s="33">
        <v>1.49</v>
      </c>
      <c r="P21" s="33">
        <v>1.46</v>
      </c>
      <c r="Q21" s="33">
        <f t="shared" ref="Q21:Q25" si="10">IFERROR(AVERAGE(M21:P21), "")</f>
        <v>1.475</v>
      </c>
      <c r="R21" s="33">
        <v>1.27</v>
      </c>
      <c r="S21" s="33">
        <v>1.38</v>
      </c>
      <c r="T21" s="35">
        <v>1.42</v>
      </c>
      <c r="U21" s="35">
        <v>1.7</v>
      </c>
      <c r="V21" s="35">
        <f t="shared" ref="V21:V25" si="11">IFERROR(AVERAGE(R21:U21), "")</f>
        <v>1.4425</v>
      </c>
      <c r="W21" s="35">
        <v>1.26</v>
      </c>
      <c r="X21" s="35">
        <v>1.43</v>
      </c>
      <c r="Y21" s="35">
        <v>1.44</v>
      </c>
      <c r="Z21" s="35">
        <v>1.25</v>
      </c>
      <c r="AA21" s="35">
        <f t="shared" ref="AA21:AA25" si="12">IFERROR(AVERAGE(W21:Z21), "")</f>
        <v>1.345</v>
      </c>
      <c r="AB21" s="35">
        <f t="shared" ref="AB21:AB25" si="13">IFERROR(AVERAGE(G21, L21, Q21, V21, AA21), "")</f>
        <v>1.421</v>
      </c>
      <c r="AC21" s="36"/>
    </row>
    <row r="22">
      <c r="A22" s="37">
        <v>35.6</v>
      </c>
      <c r="B22" s="37">
        <f t="shared" si="7"/>
        <v>1.729616441</v>
      </c>
      <c r="C22" s="37">
        <v>1.19</v>
      </c>
      <c r="D22" s="37">
        <v>1.26</v>
      </c>
      <c r="E22" s="37">
        <v>1.31</v>
      </c>
      <c r="F22" s="37">
        <v>1.43</v>
      </c>
      <c r="G22" s="37">
        <f t="shared" si="8"/>
        <v>1.2975</v>
      </c>
      <c r="H22" s="37">
        <v>1.2</v>
      </c>
      <c r="I22" s="37">
        <v>1.26</v>
      </c>
      <c r="J22" s="37">
        <v>1.44</v>
      </c>
      <c r="K22" s="37">
        <v>1.23</v>
      </c>
      <c r="L22" s="37">
        <f t="shared" si="9"/>
        <v>1.2825</v>
      </c>
      <c r="M22" s="37">
        <v>1.34</v>
      </c>
      <c r="N22" s="37">
        <v>1.36</v>
      </c>
      <c r="O22" s="37">
        <v>1.39</v>
      </c>
      <c r="P22" s="37">
        <v>1.31</v>
      </c>
      <c r="Q22" s="37">
        <f t="shared" si="10"/>
        <v>1.35</v>
      </c>
      <c r="R22" s="37">
        <v>1.14</v>
      </c>
      <c r="S22" s="37">
        <v>1.4</v>
      </c>
      <c r="T22" s="35">
        <v>1.44</v>
      </c>
      <c r="U22" s="35">
        <v>1.23</v>
      </c>
      <c r="V22" s="35">
        <f t="shared" si="11"/>
        <v>1.3025</v>
      </c>
      <c r="W22" s="35">
        <v>1.14</v>
      </c>
      <c r="X22" s="35">
        <v>1.48</v>
      </c>
      <c r="Y22" s="35">
        <v>1.35</v>
      </c>
      <c r="Z22" s="35">
        <v>1.05</v>
      </c>
      <c r="AA22" s="35">
        <f t="shared" si="12"/>
        <v>1.255</v>
      </c>
      <c r="AB22" s="35">
        <f t="shared" si="13"/>
        <v>1.2975</v>
      </c>
      <c r="AC22" s="36"/>
    </row>
    <row r="23">
      <c r="A23" s="33">
        <v>40.67</v>
      </c>
      <c r="B23" s="33">
        <f t="shared" si="7"/>
        <v>1.618220571</v>
      </c>
      <c r="C23" s="33">
        <v>1.33</v>
      </c>
      <c r="D23" s="33">
        <v>1.37</v>
      </c>
      <c r="E23" s="33">
        <v>1.26</v>
      </c>
      <c r="F23" s="33">
        <v>1.1</v>
      </c>
      <c r="G23" s="33">
        <f t="shared" si="8"/>
        <v>1.265</v>
      </c>
      <c r="H23" s="33">
        <v>1.0</v>
      </c>
      <c r="I23" s="33">
        <v>1.13</v>
      </c>
      <c r="J23" s="33">
        <v>1.29</v>
      </c>
      <c r="K23" s="33">
        <v>1.08</v>
      </c>
      <c r="L23" s="33">
        <f t="shared" si="9"/>
        <v>1.125</v>
      </c>
      <c r="M23" s="33">
        <v>1.13</v>
      </c>
      <c r="N23" s="33">
        <v>1.14</v>
      </c>
      <c r="O23" s="33">
        <v>1.31</v>
      </c>
      <c r="P23" s="33">
        <v>1.1</v>
      </c>
      <c r="Q23" s="33">
        <f t="shared" si="10"/>
        <v>1.17</v>
      </c>
      <c r="R23" s="33">
        <v>1.01</v>
      </c>
      <c r="S23" s="33">
        <v>0.98</v>
      </c>
      <c r="T23" s="35">
        <v>1.37</v>
      </c>
      <c r="U23" s="35">
        <v>1.24</v>
      </c>
      <c r="V23" s="35">
        <f t="shared" si="11"/>
        <v>1.15</v>
      </c>
      <c r="W23" s="35">
        <v>1.19</v>
      </c>
      <c r="X23" s="35">
        <v>1.3</v>
      </c>
      <c r="Y23" s="35">
        <v>1.29</v>
      </c>
      <c r="Z23" s="35">
        <v>1.22</v>
      </c>
      <c r="AA23" s="35">
        <f t="shared" si="12"/>
        <v>1.25</v>
      </c>
      <c r="AB23" s="35">
        <f t="shared" si="13"/>
        <v>1.192</v>
      </c>
      <c r="AC23" s="36"/>
    </row>
    <row r="24">
      <c r="A24" s="37">
        <v>45.97</v>
      </c>
      <c r="B24" s="37">
        <f t="shared" si="7"/>
        <v>1.522080254</v>
      </c>
      <c r="C24" s="37">
        <v>1.07</v>
      </c>
      <c r="D24" s="37">
        <v>0.99</v>
      </c>
      <c r="E24" s="37">
        <v>1.12</v>
      </c>
      <c r="F24" s="37">
        <v>1.2</v>
      </c>
      <c r="G24" s="37">
        <f t="shared" si="8"/>
        <v>1.095</v>
      </c>
      <c r="H24" s="37">
        <v>0.99</v>
      </c>
      <c r="I24" s="37">
        <v>1.2</v>
      </c>
      <c r="J24" s="37">
        <v>1.23</v>
      </c>
      <c r="K24" s="37">
        <v>1.0</v>
      </c>
      <c r="L24" s="37">
        <f t="shared" si="9"/>
        <v>1.105</v>
      </c>
      <c r="M24" s="37">
        <v>1.06</v>
      </c>
      <c r="N24" s="37">
        <v>1.2</v>
      </c>
      <c r="O24" s="37">
        <v>1.03</v>
      </c>
      <c r="P24" s="37">
        <v>0.83</v>
      </c>
      <c r="Q24" s="37">
        <f t="shared" si="10"/>
        <v>1.03</v>
      </c>
      <c r="R24" s="37">
        <v>1.08</v>
      </c>
      <c r="S24" s="37">
        <v>1.2</v>
      </c>
      <c r="T24" s="35">
        <v>1.21</v>
      </c>
      <c r="U24" s="35">
        <v>1.1</v>
      </c>
      <c r="V24" s="35">
        <f t="shared" si="11"/>
        <v>1.1475</v>
      </c>
      <c r="W24" s="35">
        <v>1.0</v>
      </c>
      <c r="X24" s="35">
        <v>1.25</v>
      </c>
      <c r="Y24" s="35">
        <v>1.11</v>
      </c>
      <c r="Z24" s="35">
        <v>0.8</v>
      </c>
      <c r="AA24" s="35">
        <f t="shared" si="12"/>
        <v>1.04</v>
      </c>
      <c r="AB24" s="35">
        <f t="shared" si="13"/>
        <v>1.0835</v>
      </c>
      <c r="AC24" s="36"/>
    </row>
    <row r="25">
      <c r="A25" s="33">
        <v>51.17</v>
      </c>
      <c r="B25" s="33">
        <f t="shared" si="7"/>
        <v>1.442670314</v>
      </c>
      <c r="C25" s="33">
        <v>0.81</v>
      </c>
      <c r="D25" s="33">
        <v>1.07</v>
      </c>
      <c r="E25" s="33">
        <v>1.06</v>
      </c>
      <c r="F25" s="33">
        <v>0.91</v>
      </c>
      <c r="G25" s="33">
        <f t="shared" si="8"/>
        <v>0.9625</v>
      </c>
      <c r="H25" s="33">
        <v>0.93</v>
      </c>
      <c r="I25" s="33">
        <v>1.03</v>
      </c>
      <c r="J25" s="33">
        <v>0.9</v>
      </c>
      <c r="K25" s="33">
        <v>0.91</v>
      </c>
      <c r="L25" s="33">
        <f t="shared" si="9"/>
        <v>0.9425</v>
      </c>
      <c r="M25" s="33">
        <v>1.0</v>
      </c>
      <c r="N25" s="33">
        <v>0.88</v>
      </c>
      <c r="O25" s="33">
        <v>1.16</v>
      </c>
      <c r="P25" s="33">
        <v>1.09</v>
      </c>
      <c r="Q25" s="33">
        <f t="shared" si="10"/>
        <v>1.0325</v>
      </c>
      <c r="R25" s="33">
        <v>0.73</v>
      </c>
      <c r="S25" s="33">
        <v>0.81</v>
      </c>
      <c r="T25" s="35">
        <v>0.98</v>
      </c>
      <c r="U25" s="35">
        <v>1.07</v>
      </c>
      <c r="V25" s="35">
        <f t="shared" si="11"/>
        <v>0.8975</v>
      </c>
      <c r="W25" s="35">
        <v>0.93</v>
      </c>
      <c r="X25" s="35">
        <v>1.13</v>
      </c>
      <c r="Y25" s="35">
        <v>1.01</v>
      </c>
      <c r="Z25" s="35">
        <v>0.95</v>
      </c>
      <c r="AA25" s="35">
        <f t="shared" si="12"/>
        <v>1.005</v>
      </c>
      <c r="AB25" s="35">
        <f t="shared" si="13"/>
        <v>0.968</v>
      </c>
      <c r="AC25" s="36"/>
    </row>
    <row r="27">
      <c r="A27" s="38" t="s">
        <v>61</v>
      </c>
      <c r="B27" s="14"/>
      <c r="C27" s="14"/>
      <c r="D27" s="14"/>
      <c r="E27" s="14"/>
      <c r="F27" s="14"/>
      <c r="G27" s="39"/>
      <c r="H27" s="39"/>
      <c r="I27" s="39"/>
      <c r="J27" s="39"/>
      <c r="K27" s="39"/>
      <c r="L27" s="39"/>
      <c r="M27" s="39"/>
    </row>
    <row r="28">
      <c r="A28" s="40" t="s">
        <v>44</v>
      </c>
      <c r="B28" s="41" t="s">
        <v>62</v>
      </c>
      <c r="C28" s="41" t="s">
        <v>63</v>
      </c>
      <c r="D28" s="41" t="s">
        <v>64</v>
      </c>
      <c r="E28" s="42" t="s">
        <v>2</v>
      </c>
      <c r="F28" s="43" t="s">
        <v>65</v>
      </c>
    </row>
    <row r="29">
      <c r="A29" s="44">
        <f t="shared" ref="A29:A33" si="14">A12</f>
        <v>97.5</v>
      </c>
      <c r="B29" s="45">
        <f t="shared" ref="B29:B33" si="15">A29/100</f>
        <v>0.975</v>
      </c>
      <c r="C29" s="45">
        <f t="shared" ref="C29:C33" si="16">AA12</f>
        <v>1.0795</v>
      </c>
      <c r="D29" s="45">
        <f t="shared" ref="D29:D33" si="17">IFERROR(2*B29/(C29^2), "")</f>
        <v>1.673359748</v>
      </c>
      <c r="E29" s="46">
        <f t="shared" ref="E29:E33" si="18">IFERROR(D29*((2*$C$3+$C$5)/$C$5), "")</f>
        <v>8.638879122</v>
      </c>
      <c r="F29" s="47">
        <f t="shared" ref="F29:F33" si="19">C29^2</f>
        <v>1.16532025</v>
      </c>
    </row>
    <row r="30">
      <c r="A30" s="44">
        <f t="shared" si="14"/>
        <v>91.8</v>
      </c>
      <c r="B30" s="45">
        <f t="shared" si="15"/>
        <v>0.918</v>
      </c>
      <c r="C30" s="45">
        <f t="shared" si="16"/>
        <v>0.962</v>
      </c>
      <c r="D30" s="45">
        <f t="shared" si="17"/>
        <v>1.983912587</v>
      </c>
      <c r="E30" s="46">
        <f t="shared" si="18"/>
        <v>10.24213774</v>
      </c>
      <c r="F30" s="47">
        <f t="shared" si="19"/>
        <v>0.925444</v>
      </c>
    </row>
    <row r="31">
      <c r="A31" s="44">
        <f t="shared" si="14"/>
        <v>86.3</v>
      </c>
      <c r="B31" s="45">
        <f t="shared" si="15"/>
        <v>0.863</v>
      </c>
      <c r="C31" s="45">
        <f t="shared" si="16"/>
        <v>0.9875</v>
      </c>
      <c r="D31" s="45">
        <f t="shared" si="17"/>
        <v>1.769972761</v>
      </c>
      <c r="E31" s="46">
        <f t="shared" si="18"/>
        <v>9.137653004</v>
      </c>
      <c r="F31" s="47">
        <f t="shared" si="19"/>
        <v>0.97515625</v>
      </c>
    </row>
    <row r="32">
      <c r="A32" s="44">
        <f t="shared" si="14"/>
        <v>80.2</v>
      </c>
      <c r="B32" s="45">
        <f t="shared" si="15"/>
        <v>0.802</v>
      </c>
      <c r="C32" s="45">
        <f t="shared" si="16"/>
        <v>0.885</v>
      </c>
      <c r="D32" s="45">
        <f t="shared" si="17"/>
        <v>2.047942801</v>
      </c>
      <c r="E32" s="46">
        <f t="shared" si="18"/>
        <v>10.57269982</v>
      </c>
      <c r="F32" s="47">
        <f t="shared" si="19"/>
        <v>0.783225</v>
      </c>
    </row>
    <row r="33">
      <c r="A33" s="44">
        <f t="shared" si="14"/>
        <v>74.6</v>
      </c>
      <c r="B33" s="45">
        <f t="shared" si="15"/>
        <v>0.746</v>
      </c>
      <c r="C33" s="45">
        <f t="shared" si="16"/>
        <v>0.843</v>
      </c>
      <c r="D33" s="45">
        <f t="shared" si="17"/>
        <v>2.09948934</v>
      </c>
      <c r="E33" s="46">
        <f t="shared" si="18"/>
        <v>10.83881374</v>
      </c>
      <c r="F33" s="47">
        <f t="shared" si="19"/>
        <v>0.710649</v>
      </c>
    </row>
    <row r="34">
      <c r="A34" s="48" t="s">
        <v>66</v>
      </c>
      <c r="B34" s="49"/>
      <c r="C34" s="50"/>
      <c r="D34" s="51">
        <f t="shared" ref="D34:E34" si="20">IFERROR(AVERAGE(D29:D33), "")</f>
        <v>1.914935447</v>
      </c>
      <c r="E34" s="52">
        <f t="shared" si="20"/>
        <v>9.886036684</v>
      </c>
      <c r="F34" s="53">
        <f>AVERAGE(F29:F33)</f>
        <v>0.9119589</v>
      </c>
    </row>
    <row r="36">
      <c r="A36" s="38" t="s">
        <v>67</v>
      </c>
      <c r="B36" s="14"/>
      <c r="C36" s="14"/>
      <c r="D36" s="14"/>
      <c r="E36" s="15"/>
    </row>
    <row r="37">
      <c r="A37" s="40" t="s">
        <v>59</v>
      </c>
      <c r="B37" s="41" t="s">
        <v>62</v>
      </c>
      <c r="C37" s="41" t="s">
        <v>63</v>
      </c>
      <c r="D37" s="41" t="s">
        <v>64</v>
      </c>
      <c r="E37" s="42" t="s">
        <v>2</v>
      </c>
    </row>
    <row r="38">
      <c r="A38" s="54">
        <f t="shared" ref="A38:A42" si="21">A21</f>
        <v>30.32</v>
      </c>
      <c r="B38" s="45">
        <f t="shared" ref="B38:B42" si="22">$C$6/100</f>
        <v>0.975</v>
      </c>
      <c r="C38" s="45">
        <f t="shared" ref="C38:C42" si="23">AB21</f>
        <v>1.421</v>
      </c>
      <c r="D38" s="45">
        <f t="shared" ref="D38:D42" si="24">IFERROR(2*B38/(C38^2), "")</f>
        <v>0.9657093928</v>
      </c>
      <c r="E38" s="46">
        <f t="shared" ref="E38:E42" si="25">IFERROR(D38*((2*$C$3+A38)/A38), "")</f>
        <v>7.749881578</v>
      </c>
    </row>
    <row r="39">
      <c r="A39" s="54">
        <f t="shared" si="21"/>
        <v>35.6</v>
      </c>
      <c r="B39" s="45">
        <f t="shared" si="22"/>
        <v>0.975</v>
      </c>
      <c r="C39" s="45">
        <f t="shared" si="23"/>
        <v>1.2975</v>
      </c>
      <c r="D39" s="45">
        <f t="shared" si="24"/>
        <v>1.158296858</v>
      </c>
      <c r="E39" s="46">
        <f t="shared" si="25"/>
        <v>8.08855615</v>
      </c>
    </row>
    <row r="40">
      <c r="A40" s="54">
        <f t="shared" si="21"/>
        <v>40.67</v>
      </c>
      <c r="B40" s="45">
        <f t="shared" si="22"/>
        <v>0.975</v>
      </c>
      <c r="C40" s="45">
        <f t="shared" si="23"/>
        <v>1.192</v>
      </c>
      <c r="D40" s="45">
        <f t="shared" si="24"/>
        <v>1.372404396</v>
      </c>
      <c r="E40" s="46">
        <f t="shared" si="25"/>
        <v>8.560064499</v>
      </c>
    </row>
    <row r="41">
      <c r="A41" s="54">
        <f t="shared" si="21"/>
        <v>45.97</v>
      </c>
      <c r="B41" s="45">
        <f t="shared" si="22"/>
        <v>0.975</v>
      </c>
      <c r="C41" s="45">
        <f t="shared" si="23"/>
        <v>1.0835</v>
      </c>
      <c r="D41" s="45">
        <f t="shared" si="24"/>
        <v>1.661027337</v>
      </c>
      <c r="E41" s="46">
        <f t="shared" si="25"/>
        <v>9.357325417</v>
      </c>
    </row>
    <row r="42">
      <c r="A42" s="54">
        <f t="shared" si="21"/>
        <v>51.17</v>
      </c>
      <c r="B42" s="45">
        <f t="shared" si="22"/>
        <v>0.975</v>
      </c>
      <c r="C42" s="45">
        <f t="shared" si="23"/>
        <v>0.968</v>
      </c>
      <c r="D42" s="45">
        <f t="shared" si="24"/>
        <v>2.081056622</v>
      </c>
      <c r="E42" s="46">
        <f t="shared" si="25"/>
        <v>10.74365307</v>
      </c>
    </row>
    <row r="43">
      <c r="A43" s="48" t="s">
        <v>66</v>
      </c>
      <c r="B43" s="49"/>
      <c r="C43" s="50"/>
      <c r="D43" s="51">
        <f t="shared" ref="D43:E43" si="26">IFERROR(AVERAGE(D38:D42), "")</f>
        <v>1.447698921</v>
      </c>
      <c r="E43" s="52">
        <f t="shared" si="26"/>
        <v>8.899896144</v>
      </c>
    </row>
  </sheetData>
  <mergeCells count="25">
    <mergeCell ref="V10:Z10"/>
    <mergeCell ref="AA10:AA11"/>
    <mergeCell ref="AB10:AB11"/>
    <mergeCell ref="AC10:AC11"/>
    <mergeCell ref="AB19:AB20"/>
    <mergeCell ref="AC19:AC20"/>
    <mergeCell ref="A10:A11"/>
    <mergeCell ref="A19:A20"/>
    <mergeCell ref="B19:B20"/>
    <mergeCell ref="A27:F27"/>
    <mergeCell ref="A34:C34"/>
    <mergeCell ref="A36:E36"/>
    <mergeCell ref="A43:C43"/>
    <mergeCell ref="C19:G19"/>
    <mergeCell ref="H19:L19"/>
    <mergeCell ref="M19:Q19"/>
    <mergeCell ref="R19:V19"/>
    <mergeCell ref="W19:AA19"/>
    <mergeCell ref="A1:D1"/>
    <mergeCell ref="A9:AC9"/>
    <mergeCell ref="B10:F10"/>
    <mergeCell ref="G10:K10"/>
    <mergeCell ref="L10:P10"/>
    <mergeCell ref="Q10:U10"/>
    <mergeCell ref="A18:AC18"/>
  </mergeCells>
  <drawing r:id="rId1"/>
</worksheet>
</file>