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Аркуш1" sheetId="1" r:id="rId5"/>
  </sheets>
  <definedNames/>
  <calcPr/>
</workbook>
</file>

<file path=xl/sharedStrings.xml><?xml version="1.0" encoding="utf-8"?>
<sst xmlns="http://schemas.openxmlformats.org/spreadsheetml/2006/main" count="35" uniqueCount="27">
  <si>
    <t>Лабораторна робота: Маятник Максвелла</t>
  </si>
  <si>
    <t>Константи та параметри установки</t>
  </si>
  <si>
    <t>Прискорення вільного падіння g (м/с²)</t>
  </si>
  <si>
    <t>Висота падіння h (м)</t>
  </si>
  <si>
    <t>Радіус стержня r_c (мм)</t>
  </si>
  <si>
    <t>Радіус диска r_д (мм)</t>
  </si>
  <si>
    <t>Внутрішній радіус r_k1 (мм)</t>
  </si>
  <si>
    <t>Зовнішній радіус r_k2 (мм)</t>
  </si>
  <si>
    <t>Маса стержня m_c (г)</t>
  </si>
  <si>
    <t>Маса диска m_d (г)</t>
  </si>
  <si>
    <t>Параметри кілець</t>
  </si>
  <si>
    <t>Параметр</t>
  </si>
  <si>
    <t>Кільце 1</t>
  </si>
  <si>
    <t>Кільце 2</t>
  </si>
  <si>
    <t>Маса m_k (г)</t>
  </si>
  <si>
    <t>Вимірювання часу падіння (с)</t>
  </si>
  <si>
    <t>Номер спроби</t>
  </si>
  <si>
    <t>Значення 1</t>
  </si>
  <si>
    <t>Значення 2</t>
  </si>
  <si>
    <t>Середня</t>
  </si>
  <si>
    <t>Середній час t_сер (с)</t>
  </si>
  <si>
    <t>Результати розрахунків</t>
  </si>
  <si>
    <t>Повна маса маятника m (кг)</t>
  </si>
  <si>
    <t>Експериментальний момент інерції I_експ</t>
  </si>
  <si>
    <t>Теоретичний момент інерції I_теор</t>
  </si>
  <si>
    <t>Абсолютна розбіжність ΔI</t>
  </si>
  <si>
    <t>Відносна розбіжність ε (%)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</si>
</sst>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"/>
    <numFmt numFmtId="165" formatCode="0.00000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0" fillId="0" fontId="2" numFmtId="0" xfId="0" applyAlignment="1" applyFont="1">
      <alignment horizontal="center" readingOrder="0"/>
    </xf>
    <xf borderId="0" fillId="0" fontId="1" numFmtId="4" xfId="0" applyAlignment="1" applyFont="1" applyNumberFormat="1">
      <alignment readingOrder="0"/>
    </xf>
    <xf borderId="0" fillId="0" fontId="1" numFmtId="2" xfId="0" applyFont="1" applyNumberFormat="1"/>
    <xf borderId="0" fillId="0" fontId="1" numFmtId="4" xfId="0" applyFont="1" applyNumberFormat="1"/>
    <xf borderId="0" fillId="0" fontId="1" numFmtId="164" xfId="0" applyAlignment="1" applyFont="1" applyNumberFormat="1">
      <alignment horizontal="center"/>
    </xf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/>
    </xf>
    <xf borderId="0" fillId="0" fontId="1" numFmtId="2" xfId="0" applyAlignment="1" applyFont="1" applyNumberFormat="1">
      <alignment horizontal="center" readingOrder="0"/>
    </xf>
    <xf borderId="0" fillId="0" fontId="1" numFmtId="2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7.25"/>
  </cols>
  <sheetData>
    <row r="1">
      <c r="B1" s="1" t="s">
        <v>0</v>
      </c>
    </row>
    <row r="3">
      <c r="B3" s="1" t="s">
        <v>1</v>
      </c>
    </row>
    <row r="4">
      <c r="B4" s="1" t="s">
        <v>2</v>
      </c>
      <c r="C4" s="2">
        <v>9.81</v>
      </c>
    </row>
    <row r="5">
      <c r="B5" s="1" t="s">
        <v>3</v>
      </c>
      <c r="C5" s="2">
        <v>0.897</v>
      </c>
    </row>
    <row r="6">
      <c r="B6" s="1" t="s">
        <v>4</v>
      </c>
      <c r="C6" s="1">
        <v>4.0</v>
      </c>
    </row>
    <row r="7">
      <c r="B7" s="1" t="s">
        <v>5</v>
      </c>
      <c r="C7" s="1">
        <v>40.0</v>
      </c>
    </row>
    <row r="8">
      <c r="B8" s="1" t="s">
        <v>6</v>
      </c>
      <c r="C8" s="1">
        <v>40.0</v>
      </c>
    </row>
    <row r="9">
      <c r="B9" s="1" t="s">
        <v>7</v>
      </c>
      <c r="C9" s="1">
        <v>58.0</v>
      </c>
    </row>
    <row r="10">
      <c r="B10" s="1" t="s">
        <v>8</v>
      </c>
      <c r="C10" s="2">
        <v>186.5</v>
      </c>
    </row>
    <row r="11">
      <c r="B11" s="1" t="s">
        <v>9</v>
      </c>
      <c r="C11" s="1">
        <v>85.0</v>
      </c>
    </row>
    <row r="13">
      <c r="B13" s="1" t="s">
        <v>10</v>
      </c>
    </row>
    <row r="14">
      <c r="B14" s="1" t="s">
        <v>11</v>
      </c>
      <c r="C14" s="1" t="s">
        <v>12</v>
      </c>
      <c r="F14" s="1" t="s">
        <v>13</v>
      </c>
    </row>
    <row r="15">
      <c r="B15" s="1" t="s">
        <v>14</v>
      </c>
      <c r="C15" s="1">
        <v>297.0</v>
      </c>
      <c r="F15" s="1">
        <v>489.0</v>
      </c>
    </row>
    <row r="17">
      <c r="B17" s="1" t="s">
        <v>15</v>
      </c>
    </row>
    <row r="18">
      <c r="B18" s="1" t="s">
        <v>16</v>
      </c>
      <c r="C18" s="1" t="s">
        <v>12</v>
      </c>
      <c r="G18" s="1" t="s">
        <v>13</v>
      </c>
    </row>
    <row r="19">
      <c r="B19" s="1"/>
      <c r="C19" s="3" t="s">
        <v>17</v>
      </c>
      <c r="D19" s="3" t="s">
        <v>18</v>
      </c>
      <c r="E19" s="3" t="s">
        <v>19</v>
      </c>
      <c r="G19" s="3" t="s">
        <v>17</v>
      </c>
      <c r="H19" s="3" t="s">
        <v>18</v>
      </c>
      <c r="I19" s="3" t="s">
        <v>19</v>
      </c>
    </row>
    <row r="20">
      <c r="B20" s="1">
        <v>1.0</v>
      </c>
      <c r="C20" s="4">
        <v>3.36</v>
      </c>
      <c r="D20" s="4">
        <v>3.84</v>
      </c>
      <c r="E20" s="4">
        <f t="shared" ref="E20:E29" si="1">AVERAGE(C20:D20)</f>
        <v>3.6</v>
      </c>
      <c r="G20" s="1">
        <v>4.18</v>
      </c>
      <c r="H20" s="4">
        <v>4.07</v>
      </c>
      <c r="I20" s="5">
        <f t="shared" ref="I20:I29" si="2">AVERAGE(G20:H20)</f>
        <v>4.125</v>
      </c>
    </row>
    <row r="21">
      <c r="B21" s="1">
        <v>2.0</v>
      </c>
      <c r="C21" s="4">
        <v>3.66</v>
      </c>
      <c r="D21" s="4">
        <v>3.76</v>
      </c>
      <c r="E21" s="6">
        <f t="shared" si="1"/>
        <v>3.71</v>
      </c>
      <c r="G21" s="1">
        <v>3.65</v>
      </c>
      <c r="H21" s="1">
        <v>3.76</v>
      </c>
      <c r="I21" s="5">
        <f t="shared" si="2"/>
        <v>3.705</v>
      </c>
    </row>
    <row r="22">
      <c r="B22" s="1">
        <v>3.0</v>
      </c>
      <c r="C22" s="4">
        <v>3.33</v>
      </c>
      <c r="D22" s="4">
        <v>3.49</v>
      </c>
      <c r="E22" s="6">
        <f t="shared" si="1"/>
        <v>3.41</v>
      </c>
      <c r="G22" s="1">
        <v>3.45</v>
      </c>
      <c r="H22" s="1">
        <v>3.54</v>
      </c>
      <c r="I22" s="5">
        <f t="shared" si="2"/>
        <v>3.495</v>
      </c>
    </row>
    <row r="23">
      <c r="B23" s="1">
        <v>4.0</v>
      </c>
      <c r="C23" s="4">
        <v>3.51</v>
      </c>
      <c r="D23" s="4">
        <v>3.52</v>
      </c>
      <c r="E23" s="6">
        <f t="shared" si="1"/>
        <v>3.515</v>
      </c>
      <c r="G23" s="2">
        <v>3.5</v>
      </c>
      <c r="H23" s="1">
        <v>3.64</v>
      </c>
      <c r="I23" s="5">
        <f t="shared" si="2"/>
        <v>3.57</v>
      </c>
    </row>
    <row r="24">
      <c r="B24" s="1">
        <v>5.0</v>
      </c>
      <c r="C24" s="4">
        <v>3.46</v>
      </c>
      <c r="D24" s="4">
        <v>3.39</v>
      </c>
      <c r="E24" s="6">
        <f t="shared" si="1"/>
        <v>3.425</v>
      </c>
      <c r="G24" s="1">
        <v>3.35</v>
      </c>
      <c r="H24" s="1">
        <v>3.72</v>
      </c>
      <c r="I24" s="5">
        <f t="shared" si="2"/>
        <v>3.535</v>
      </c>
    </row>
    <row r="25">
      <c r="B25" s="1">
        <v>6.0</v>
      </c>
      <c r="C25" s="4">
        <v>3.61</v>
      </c>
      <c r="D25" s="4">
        <v>3.56</v>
      </c>
      <c r="E25" s="6">
        <f t="shared" si="1"/>
        <v>3.585</v>
      </c>
      <c r="G25" s="1">
        <v>3.36</v>
      </c>
      <c r="H25" s="1">
        <v>3.59</v>
      </c>
      <c r="I25" s="5">
        <f t="shared" si="2"/>
        <v>3.475</v>
      </c>
    </row>
    <row r="26">
      <c r="B26" s="1">
        <v>7.0</v>
      </c>
      <c r="C26" s="4">
        <v>3.45</v>
      </c>
      <c r="D26" s="4">
        <v>3.32</v>
      </c>
      <c r="E26" s="6">
        <f t="shared" si="1"/>
        <v>3.385</v>
      </c>
      <c r="G26" s="1">
        <v>3.5</v>
      </c>
      <c r="H26" s="1">
        <v>3.69</v>
      </c>
      <c r="I26" s="5">
        <f t="shared" si="2"/>
        <v>3.595</v>
      </c>
    </row>
    <row r="27">
      <c r="B27" s="1">
        <v>8.0</v>
      </c>
      <c r="C27" s="4">
        <v>3.26</v>
      </c>
      <c r="D27" s="4">
        <v>3.59</v>
      </c>
      <c r="E27" s="6">
        <f t="shared" si="1"/>
        <v>3.425</v>
      </c>
      <c r="G27" s="1">
        <v>3.43</v>
      </c>
      <c r="H27" s="1">
        <v>3.64</v>
      </c>
      <c r="I27" s="5">
        <f t="shared" si="2"/>
        <v>3.535</v>
      </c>
    </row>
    <row r="28">
      <c r="B28" s="1">
        <v>9.0</v>
      </c>
      <c r="C28" s="4">
        <v>3.15</v>
      </c>
      <c r="D28" s="4">
        <v>3.34</v>
      </c>
      <c r="E28" s="6">
        <f t="shared" si="1"/>
        <v>3.245</v>
      </c>
      <c r="G28" s="1">
        <v>3.53</v>
      </c>
      <c r="H28" s="1">
        <v>3.57</v>
      </c>
      <c r="I28" s="5">
        <f t="shared" si="2"/>
        <v>3.55</v>
      </c>
    </row>
    <row r="29">
      <c r="B29" s="1">
        <v>10.0</v>
      </c>
      <c r="C29" s="4">
        <v>3.21</v>
      </c>
      <c r="D29" s="4">
        <v>3.31</v>
      </c>
      <c r="E29" s="6">
        <f t="shared" si="1"/>
        <v>3.26</v>
      </c>
      <c r="G29" s="1">
        <v>3.61</v>
      </c>
      <c r="H29" s="1">
        <v>3.71</v>
      </c>
      <c r="I29" s="5">
        <f t="shared" si="2"/>
        <v>3.66</v>
      </c>
    </row>
    <row r="30">
      <c r="B30" s="1" t="s">
        <v>20</v>
      </c>
      <c r="C30" s="5">
        <f t="shared" ref="C30:E30" si="3">AVERAGE(C20:C29)</f>
        <v>3.4</v>
      </c>
      <c r="D30" s="5">
        <f t="shared" si="3"/>
        <v>3.512</v>
      </c>
      <c r="E30" s="6">
        <f t="shared" si="3"/>
        <v>3.456</v>
      </c>
      <c r="G30" s="5">
        <f t="shared" ref="G30:I30" si="4">AVERAGE(G20:G29)</f>
        <v>3.556</v>
      </c>
      <c r="H30" s="5">
        <f t="shared" si="4"/>
        <v>3.693</v>
      </c>
      <c r="I30" s="5">
        <f t="shared" si="4"/>
        <v>3.6245</v>
      </c>
    </row>
    <row r="32">
      <c r="B32" s="1" t="s">
        <v>21</v>
      </c>
    </row>
    <row r="33">
      <c r="B33" s="1" t="s">
        <v>11</v>
      </c>
      <c r="C33" s="1" t="s">
        <v>12</v>
      </c>
      <c r="F33" s="1" t="s">
        <v>13</v>
      </c>
    </row>
    <row r="34">
      <c r="B34" s="1" t="s">
        <v>22</v>
      </c>
      <c r="C34" s="7">
        <f>(C10+C11+C15)/1000</f>
        <v>0.5685</v>
      </c>
      <c r="D34" s="7"/>
      <c r="E34" s="7"/>
      <c r="F34" s="8">
        <f>(C10+C11+F15)/1000</f>
        <v>0.7605</v>
      </c>
      <c r="G34" s="7"/>
      <c r="H34" s="7"/>
    </row>
    <row r="35">
      <c r="B35" s="1" t="s">
        <v>23</v>
      </c>
      <c r="C35" s="9">
        <f>C34*(C6/1000)^2*(C4*E30^2/(2*C5/1000)-1)</f>
        <v>0.5940702968</v>
      </c>
      <c r="D35" s="10"/>
      <c r="E35" s="10"/>
      <c r="F35" s="10">
        <f>F34*(C6/1000)^2*(C4*I30^2/(2*C5/1000)-1)</f>
        <v>0.8740895582</v>
      </c>
      <c r="G35" s="10"/>
      <c r="H35" s="10"/>
    </row>
    <row r="36">
      <c r="B36" s="1" t="s">
        <v>24</v>
      </c>
      <c r="C36" s="10">
        <f>C15/1000*((C8/1000)^2+(C9/1000)^2)/2 + C11/1000*((C6/1000)^2+(C8/1000)^2)/2 + C10/1000*(C6/1000)^2/2</f>
        <v>0.000807326</v>
      </c>
      <c r="D36" s="10"/>
      <c r="E36" s="10"/>
      <c r="F36" s="10">
        <f>F15/1000*((C8/1000)^2+(C9/1000)^2)/2 + C11/1000*((C6/1000)^2+(C8/1000)^2)/2 + C10/1000*(C6/1000)^2/2</f>
        <v>0.00128387</v>
      </c>
      <c r="G36" s="10"/>
      <c r="H36" s="10"/>
    </row>
    <row r="37">
      <c r="B37" s="1" t="s">
        <v>25</v>
      </c>
      <c r="C37" s="10">
        <f>C35-C36</f>
        <v>0.5932629708</v>
      </c>
      <c r="D37" s="10"/>
      <c r="E37" s="10"/>
      <c r="F37" s="10">
        <f>F35-F36</f>
        <v>0.8728056882</v>
      </c>
      <c r="G37" s="10"/>
      <c r="H37" s="10"/>
    </row>
    <row r="38">
      <c r="B38" s="1" t="s">
        <v>26</v>
      </c>
      <c r="C38" s="11">
        <f>C37/C35*100</f>
        <v>99.86410261</v>
      </c>
      <c r="D38" s="12"/>
      <c r="E38" s="12"/>
      <c r="F38" s="11">
        <f>F37/F35*100</f>
        <v>99.85311917</v>
      </c>
      <c r="G38" s="12"/>
      <c r="H38" s="12"/>
    </row>
  </sheetData>
  <mergeCells count="6">
    <mergeCell ref="C14:E14"/>
    <mergeCell ref="F14:H14"/>
    <mergeCell ref="C18:E18"/>
    <mergeCell ref="C33:E33"/>
    <mergeCell ref="F33:H33"/>
    <mergeCell ref="G18:I18"/>
  </mergeCells>
  <drawing r:id="rId1"/>
</worksheet>
</file>