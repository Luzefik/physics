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Арку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4" fontId="1" fillId="0" borderId="0" pivotButton="0" quotePrefix="0" xfId="0"/>
    <xf numFmtId="2" fontId="1" fillId="0" borderId="0" pivotButton="0" quotePrefix="0" xfId="0"/>
    <xf numFmtId="4" fontId="1" fillId="0" borderId="0" pivotButton="0" quotePrefix="0" xfId="0"/>
    <xf numFmtId="164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I38"/>
  <sheetViews>
    <sheetView workbookViewId="0">
      <selection activeCell="A1" sqref="A1"/>
    </sheetView>
  </sheetViews>
  <sheetFormatPr baseColWidth="8" defaultColWidth="12.63" defaultRowHeight="15.75" customHeight="1"/>
  <cols>
    <col width="37.25" customWidth="1" style="13" min="2" max="2"/>
  </cols>
  <sheetData>
    <row r="1">
      <c r="B1" s="1" t="inlineStr">
        <is>
          <t>Лабораторна робота: Маятник Максвелла</t>
        </is>
      </c>
    </row>
    <row r="3">
      <c r="B3" s="1" t="inlineStr">
        <is>
          <t>Константи та параметри установки</t>
        </is>
      </c>
    </row>
    <row r="4">
      <c r="B4" s="1" t="inlineStr">
        <is>
          <t>Прискорення вільного падіння g (м/с²)</t>
        </is>
      </c>
      <c r="C4" s="2" t="n">
        <v>9.81</v>
      </c>
    </row>
    <row r="5">
      <c r="B5" s="1" t="inlineStr">
        <is>
          <t>Висота падіння h (м)</t>
        </is>
      </c>
      <c r="C5" s="2" t="n">
        <v>0.897</v>
      </c>
    </row>
    <row r="6">
      <c r="B6" s="1" t="inlineStr">
        <is>
          <t>Радіус стержня r_c (мм)</t>
        </is>
      </c>
      <c r="C6" s="1" t="n">
        <v>4</v>
      </c>
    </row>
    <row r="7">
      <c r="B7" s="1" t="inlineStr">
        <is>
          <t>Радіус диска r_д (мм)</t>
        </is>
      </c>
      <c r="C7" s="1" t="n">
        <v>40</v>
      </c>
    </row>
    <row r="8">
      <c r="B8" s="1" t="inlineStr">
        <is>
          <t>Внутрішній радіус r_k1 (мм)</t>
        </is>
      </c>
      <c r="C8" s="1" t="n">
        <v>40</v>
      </c>
    </row>
    <row r="9">
      <c r="B9" s="1" t="inlineStr">
        <is>
          <t>Зовнішній радіус r_k2 (мм)</t>
        </is>
      </c>
      <c r="C9" s="1" t="n">
        <v>58</v>
      </c>
    </row>
    <row r="10">
      <c r="B10" s="1" t="inlineStr">
        <is>
          <t>Маса стержня m_c (г)</t>
        </is>
      </c>
      <c r="C10" s="2" t="n">
        <v>186.5</v>
      </c>
    </row>
    <row r="11">
      <c r="B11" s="1" t="inlineStr">
        <is>
          <t>Маса диска m_d (г)</t>
        </is>
      </c>
      <c r="C11" s="1" t="n">
        <v>85</v>
      </c>
    </row>
    <row r="13">
      <c r="B13" s="1" t="inlineStr">
        <is>
          <t>Параметри кілець</t>
        </is>
      </c>
    </row>
    <row r="14">
      <c r="B14" s="1" t="inlineStr">
        <is>
          <t>Параметр</t>
        </is>
      </c>
      <c r="C14" s="1" t="inlineStr">
        <is>
          <t>Кільце 1</t>
        </is>
      </c>
      <c r="F14" s="1" t="inlineStr">
        <is>
          <t>Кільце 2</t>
        </is>
      </c>
    </row>
    <row r="15">
      <c r="B15" s="1" t="inlineStr">
        <is>
          <t>Маса m_k (г)</t>
        </is>
      </c>
      <c r="C15" s="1" t="n">
        <v>297</v>
      </c>
      <c r="F15" s="1" t="n">
        <v>489</v>
      </c>
    </row>
    <row r="17">
      <c r="B17" s="1" t="inlineStr">
        <is>
          <t>Вимірювання часу падіння (с)</t>
        </is>
      </c>
    </row>
    <row r="18">
      <c r="B18" s="1" t="inlineStr">
        <is>
          <t>Номер спроби</t>
        </is>
      </c>
      <c r="C18" s="1" t="inlineStr">
        <is>
          <t>Кільце 1</t>
        </is>
      </c>
      <c r="G18" s="1" t="inlineStr">
        <is>
          <t>Кільце 2</t>
        </is>
      </c>
    </row>
    <row r="19">
      <c r="B19" s="1" t="n"/>
      <c r="C19" s="3" t="inlineStr">
        <is>
          <t>Значення 1</t>
        </is>
      </c>
      <c r="D19" s="3" t="inlineStr">
        <is>
          <t>Значення 2</t>
        </is>
      </c>
      <c r="E19" s="3" t="inlineStr">
        <is>
          <t>Середня</t>
        </is>
      </c>
      <c r="G19" s="3" t="inlineStr">
        <is>
          <t>Значення 1</t>
        </is>
      </c>
      <c r="H19" s="3" t="inlineStr">
        <is>
          <t>Значення 2</t>
        </is>
      </c>
      <c r="I19" s="3" t="inlineStr">
        <is>
          <t>Середня</t>
        </is>
      </c>
    </row>
    <row r="20">
      <c r="B20" s="1" t="n">
        <v>1</v>
      </c>
      <c r="C20" s="6" t="n">
        <v>3.36</v>
      </c>
      <c r="D20" s="6" t="n">
        <v>3.84</v>
      </c>
      <c r="E20" s="6">
        <f>AVERAGE(C20:D20)</f>
        <v/>
      </c>
      <c r="G20" s="1" t="n">
        <v>4.18</v>
      </c>
      <c r="H20" s="6" t="n">
        <v>4.07</v>
      </c>
      <c r="I20" s="5">
        <f>AVERAGE(G20:H20)</f>
        <v/>
      </c>
    </row>
    <row r="21">
      <c r="B21" s="1" t="n">
        <v>2</v>
      </c>
      <c r="C21" s="6" t="n">
        <v>3.66</v>
      </c>
      <c r="D21" s="6" t="n">
        <v>3.76</v>
      </c>
      <c r="E21" s="6">
        <f>AVERAGE(C21:D21)</f>
        <v/>
      </c>
      <c r="G21" s="1" t="n">
        <v>3.65</v>
      </c>
      <c r="H21" s="1" t="n">
        <v>3.76</v>
      </c>
      <c r="I21" s="5">
        <f>AVERAGE(G21:H21)</f>
        <v/>
      </c>
    </row>
    <row r="22">
      <c r="B22" s="1" t="n">
        <v>3</v>
      </c>
      <c r="C22" s="6" t="n">
        <v>3.33</v>
      </c>
      <c r="D22" s="6" t="n">
        <v>3.49</v>
      </c>
      <c r="E22" s="6">
        <f>AVERAGE(C22:D22)</f>
        <v/>
      </c>
      <c r="G22" s="1" t="n">
        <v>3.45</v>
      </c>
      <c r="H22" s="1" t="n">
        <v>3.54</v>
      </c>
      <c r="I22" s="5">
        <f>AVERAGE(G22:H22)</f>
        <v/>
      </c>
    </row>
    <row r="23">
      <c r="B23" s="1" t="n">
        <v>4</v>
      </c>
      <c r="C23" s="6" t="n">
        <v>3.51</v>
      </c>
      <c r="D23" s="6" t="n">
        <v>3.52</v>
      </c>
      <c r="E23" s="6">
        <f>AVERAGE(C23:D23)</f>
        <v/>
      </c>
      <c r="G23" s="2" t="n">
        <v>3.5</v>
      </c>
      <c r="H23" s="1" t="n">
        <v>3.64</v>
      </c>
      <c r="I23" s="5">
        <f>AVERAGE(G23:H23)</f>
        <v/>
      </c>
    </row>
    <row r="24">
      <c r="B24" s="1" t="n">
        <v>5</v>
      </c>
      <c r="C24" s="6" t="n">
        <v>3.46</v>
      </c>
      <c r="D24" s="6" t="n">
        <v>3.39</v>
      </c>
      <c r="E24" s="6">
        <f>AVERAGE(C24:D24)</f>
        <v/>
      </c>
      <c r="G24" s="1" t="n">
        <v>3.35</v>
      </c>
      <c r="H24" s="1" t="n">
        <v>3.72</v>
      </c>
      <c r="I24" s="5">
        <f>AVERAGE(G24:H24)</f>
        <v/>
      </c>
    </row>
    <row r="25">
      <c r="B25" s="1" t="n">
        <v>6</v>
      </c>
      <c r="C25" s="6" t="n">
        <v>3.61</v>
      </c>
      <c r="D25" s="6" t="n">
        <v>3.56</v>
      </c>
      <c r="E25" s="6">
        <f>AVERAGE(C25:D25)</f>
        <v/>
      </c>
      <c r="G25" s="1" t="n">
        <v>3.36</v>
      </c>
      <c r="H25" s="1" t="n">
        <v>3.59</v>
      </c>
      <c r="I25" s="5">
        <f>AVERAGE(G25:H25)</f>
        <v/>
      </c>
    </row>
    <row r="26">
      <c r="B26" s="1" t="n">
        <v>7</v>
      </c>
      <c r="C26" s="6" t="n">
        <v>3.45</v>
      </c>
      <c r="D26" s="6" t="n">
        <v>3.32</v>
      </c>
      <c r="E26" s="6">
        <f>AVERAGE(C26:D26)</f>
        <v/>
      </c>
      <c r="G26" s="1" t="n">
        <v>3.5</v>
      </c>
      <c r="H26" s="1" t="n">
        <v>3.69</v>
      </c>
      <c r="I26" s="5">
        <f>AVERAGE(G26:H26)</f>
        <v/>
      </c>
    </row>
    <row r="27">
      <c r="B27" s="1" t="n">
        <v>8</v>
      </c>
      <c r="C27" s="6" t="n">
        <v>3.26</v>
      </c>
      <c r="D27" s="6" t="n">
        <v>3.59</v>
      </c>
      <c r="E27" s="6">
        <f>AVERAGE(C27:D27)</f>
        <v/>
      </c>
      <c r="G27" s="1" t="n">
        <v>3.43</v>
      </c>
      <c r="H27" s="1" t="n">
        <v>3.64</v>
      </c>
      <c r="I27" s="5">
        <f>AVERAGE(G27:H27)</f>
        <v/>
      </c>
    </row>
    <row r="28">
      <c r="B28" s="1" t="n">
        <v>9</v>
      </c>
      <c r="C28" s="6" t="n">
        <v>3.15</v>
      </c>
      <c r="D28" s="6" t="n">
        <v>3.34</v>
      </c>
      <c r="E28" s="6">
        <f>AVERAGE(C28:D28)</f>
        <v/>
      </c>
      <c r="G28" s="1" t="n">
        <v>3.53</v>
      </c>
      <c r="H28" s="1" t="n">
        <v>3.57</v>
      </c>
      <c r="I28" s="5">
        <f>AVERAGE(G28:H28)</f>
        <v/>
      </c>
    </row>
    <row r="29">
      <c r="B29" s="1" t="n">
        <v>10</v>
      </c>
      <c r="C29" s="6" t="n">
        <v>3.21</v>
      </c>
      <c r="D29" s="6" t="n">
        <v>3.31</v>
      </c>
      <c r="E29" s="6">
        <f>AVERAGE(C29:D29)</f>
        <v/>
      </c>
      <c r="G29" s="1" t="n">
        <v>3.61</v>
      </c>
      <c r="H29" s="1" t="n">
        <v>3.71</v>
      </c>
      <c r="I29" s="5">
        <f>AVERAGE(G29:H29)</f>
        <v/>
      </c>
    </row>
    <row r="30">
      <c r="B30" s="1" t="inlineStr">
        <is>
          <t>Середній час t_сер (с)</t>
        </is>
      </c>
      <c r="C30" s="5">
        <f>AVERAGE(C20:C29)</f>
        <v/>
      </c>
      <c r="D30" s="5">
        <f>AVERAGE(D20:D29)</f>
        <v/>
      </c>
      <c r="E30" s="6">
        <f>AVERAGE(E20:E29)</f>
        <v/>
      </c>
      <c r="G30" s="5">
        <f>AVERAGE(G20:G29)</f>
        <v/>
      </c>
      <c r="H30" s="5">
        <f>AVERAGE(H20:H29)</f>
        <v/>
      </c>
      <c r="I30" s="5">
        <f>AVERAGE(I20:I29)</f>
        <v/>
      </c>
    </row>
    <row r="32">
      <c r="B32" s="1" t="inlineStr">
        <is>
          <t>Результати розрахунків</t>
        </is>
      </c>
    </row>
    <row r="33">
      <c r="B33" s="1" t="inlineStr">
        <is>
          <t>Параметр</t>
        </is>
      </c>
      <c r="C33" s="1" t="inlineStr">
        <is>
          <t>Кільце 1</t>
        </is>
      </c>
      <c r="F33" s="1" t="inlineStr">
        <is>
          <t>Кільце 2</t>
        </is>
      </c>
    </row>
    <row r="34">
      <c r="B34" s="1" t="inlineStr">
        <is>
          <t>Повна маса маятника m (кг)</t>
        </is>
      </c>
      <c r="C34" s="8">
        <f>(C10+C11+C15)/1000</f>
        <v/>
      </c>
      <c r="D34" s="8" t="n"/>
      <c r="E34" s="8" t="n"/>
      <c r="F34" s="8">
        <f>(C10+C11+F15)/1000</f>
        <v/>
      </c>
      <c r="G34" s="8" t="n"/>
      <c r="H34" s="8" t="n"/>
    </row>
    <row r="35">
      <c r="B35" s="1" t="inlineStr">
        <is>
          <t>Експериментальний момент інерції I_експ</t>
        </is>
      </c>
      <c r="C35" s="10">
        <f>C34*(C6/1000)^2*(C4*E30^2/(2*C5)-1)</f>
        <v/>
      </c>
      <c r="D35" s="10" t="n"/>
      <c r="E35" s="10" t="n"/>
      <c r="F35" s="10">
        <f>F34*(C6/1000)^2*(C4*I30^2/(2*C5)-1)</f>
        <v/>
      </c>
      <c r="G35" s="10" t="n"/>
      <c r="H35" s="10" t="n"/>
    </row>
    <row r="36">
      <c r="B36" s="1" t="inlineStr">
        <is>
          <t>Теоретичний момент інерції I_теор</t>
        </is>
      </c>
      <c r="C36" s="10">
        <f>C15/1000*((C8/1000)^2+(C9/1000)^2)/2 + C11/1000*((C6/1000)^2+(C8/1000)^2)/2 + C10/1000*(C6/1000)^2/2</f>
        <v/>
      </c>
      <c r="D36" s="10" t="n"/>
      <c r="E36" s="10" t="n"/>
      <c r="F36" s="10">
        <f>F15/1000*((C8/1000)^2+(C9/1000)^2)/2 + C11/1000*((C6/1000)^2+(C8/1000)^2)/2 + C10/1000*(C6/1000)^2/2</f>
        <v/>
      </c>
      <c r="G36" s="10" t="n"/>
      <c r="H36" s="10" t="n"/>
    </row>
    <row r="37">
      <c r="B37" s="1" t="inlineStr">
        <is>
          <t>Абсолютна розбіжність ΔI</t>
        </is>
      </c>
      <c r="C37" s="10">
        <f>C35-C36</f>
        <v/>
      </c>
      <c r="D37" s="10" t="n"/>
      <c r="E37" s="10" t="n"/>
      <c r="F37" s="10">
        <f>F35-F36</f>
        <v/>
      </c>
      <c r="G37" s="10" t="n"/>
      <c r="H37" s="10" t="n"/>
    </row>
    <row r="38">
      <c r="B38" s="1" t="inlineStr">
        <is>
          <t>Відносна розбіжність ε (%)</t>
        </is>
      </c>
      <c r="C38" s="12">
        <f>C37/C35*100</f>
        <v/>
      </c>
      <c r="D38" s="12" t="n"/>
      <c r="E38" s="12" t="n"/>
      <c r="F38" s="12">
        <f>F37/F35*100</f>
        <v/>
      </c>
      <c r="G38" s="12" t="n"/>
      <c r="H38" s="12" t="n"/>
    </row>
  </sheetData>
  <mergeCells count="6">
    <mergeCell ref="C33:E33"/>
    <mergeCell ref="C14:E14"/>
    <mergeCell ref="F14:H14"/>
    <mergeCell ref="F33:H33"/>
    <mergeCell ref="C18:E18"/>
    <mergeCell ref="G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2026-10-09T07:20:06Z</dcterms:created>
  <dcterms:modified xmlns:dcterms="http://purl.org/dc/terms/" xmlns:xsi="http://www.w3.org/2001/XMLSchema-instance" xsi:type="dcterms:W3CDTF">2026-10-09T07:20:06Z</dcterms:modified>
</cp:coreProperties>
</file>