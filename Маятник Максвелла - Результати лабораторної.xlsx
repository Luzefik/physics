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<sst xmlns="http://schemas.openxmlformats.org/spreadsheetml/2006/main" count="78" uniqueCount="63">
  <si>
    <t>Лабораторна робота: Маятник Максвелла</t>
  </si>
  <si>
    <t>Константи та параметри установки</t>
  </si>
  <si>
    <t>Прискорення вільного падіння g (м/с²)</t>
  </si>
  <si>
    <t>9.81</t>
  </si>
  <si>
    <t>Висота падіння h (мм)</t>
  </si>
  <si>
    <t>89.7</t>
  </si>
  <si>
    <t>Радіус стержня r_c (мм)</t>
  </si>
  <si>
    <t>Радіус диска r_д (мм)</t>
  </si>
  <si>
    <t>Внутрішній радіус r_k1 (мм)</t>
  </si>
  <si>
    <t>Зовнішній радіус r_k2 (мм)</t>
  </si>
  <si>
    <t>Маса стержня m_c (г)</t>
  </si>
  <si>
    <t>186.5</t>
  </si>
  <si>
    <t>Маса диска m_d (г)</t>
  </si>
  <si>
    <t>Параметри кілець</t>
  </si>
  <si>
    <t>Параметр</t>
  </si>
  <si>
    <t>Кільце 1</t>
  </si>
  <si>
    <t>Кільце 2</t>
  </si>
  <si>
    <t>Маса m_k (г)</t>
  </si>
  <si>
    <t>Вимірювання часу падіння (с)</t>
  </si>
  <si>
    <t>Номер спроби</t>
  </si>
  <si>
    <t>Значення 1</t>
  </si>
  <si>
    <t>Значення 2</t>
  </si>
  <si>
    <t>Середня</t>
  </si>
  <si>
    <t>3.36</t>
  </si>
  <si>
    <t>3.84</t>
  </si>
  <si>
    <t>4.18</t>
  </si>
  <si>
    <t>4.070</t>
  </si>
  <si>
    <t>3.66</t>
  </si>
  <si>
    <t>3.76</t>
  </si>
  <si>
    <t>3.65</t>
  </si>
  <si>
    <t>3.33</t>
  </si>
  <si>
    <t>3.49</t>
  </si>
  <si>
    <t>3.45</t>
  </si>
  <si>
    <t>3.54</t>
  </si>
  <si>
    <t>3.51</t>
  </si>
  <si>
    <t>3.52</t>
  </si>
  <si>
    <t>3.50</t>
  </si>
  <si>
    <t>3.64</t>
  </si>
  <si>
    <t>3.46</t>
  </si>
  <si>
    <t>3.39</t>
  </si>
  <si>
    <t>3.35</t>
  </si>
  <si>
    <t>3.72</t>
  </si>
  <si>
    <t>3.61</t>
  </si>
  <si>
    <t>3.56</t>
  </si>
  <si>
    <t>3.59</t>
  </si>
  <si>
    <t>3.32</t>
  </si>
  <si>
    <t>3.69</t>
  </si>
  <si>
    <t>3.26</t>
  </si>
  <si>
    <t>3.43</t>
  </si>
  <si>
    <t>3.15</t>
  </si>
  <si>
    <t>3.34</t>
  </si>
  <si>
    <t>3.53</t>
  </si>
  <si>
    <t>3.57</t>
  </si>
  <si>
    <t>3.21</t>
  </si>
  <si>
    <t>3.31</t>
  </si>
  <si>
    <t>3.71</t>
  </si>
  <si>
    <t>Середній час t_сер (с)</t>
  </si>
  <si>
    <t>Результати розрахунків</t>
  </si>
  <si>
    <t>Повна маса маятника m (кг)</t>
  </si>
  <si>
    <t>Експериментальний момент інерції I_експ</t>
  </si>
  <si>
    <t>Теоретичний момент інерції I_теор</t>
  </si>
  <si>
    <t>Абсолютна розбіжність ΔI</t>
  </si>
  <si>
    <t>Відносна розбіжність ε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</si>
</sst>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B1" s="1" t="s">
        <v>0</v>
      </c>
    </row>
    <row r="3">
      <c r="B3" s="1" t="s">
        <v>1</v>
      </c>
    </row>
    <row r="4">
      <c r="B4" s="1" t="s">
        <v>2</v>
      </c>
      <c r="C4" s="2" t="s">
        <v>3</v>
      </c>
    </row>
    <row r="5">
      <c r="B5" s="1" t="s">
        <v>4</v>
      </c>
      <c r="C5" s="2" t="s">
        <v>5</v>
      </c>
    </row>
    <row r="6">
      <c r="B6" s="1" t="s">
        <v>6</v>
      </c>
      <c r="C6" s="1">
        <v>4.0</v>
      </c>
    </row>
    <row r="7">
      <c r="B7" s="1" t="s">
        <v>7</v>
      </c>
      <c r="C7" s="1">
        <v>40.0</v>
      </c>
    </row>
    <row r="8">
      <c r="B8" s="1" t="s">
        <v>8</v>
      </c>
      <c r="C8" s="1">
        <v>40.0</v>
      </c>
    </row>
    <row r="9">
      <c r="B9" s="1" t="s">
        <v>9</v>
      </c>
      <c r="C9" s="1">
        <v>58.0</v>
      </c>
    </row>
    <row r="10">
      <c r="B10" s="1" t="s">
        <v>10</v>
      </c>
      <c r="C10" s="2" t="s">
        <v>11</v>
      </c>
    </row>
    <row r="11">
      <c r="B11" s="1" t="s">
        <v>12</v>
      </c>
      <c r="C11" s="1">
        <v>85.0</v>
      </c>
    </row>
    <row r="13">
      <c r="B13" s="1" t="s">
        <v>13</v>
      </c>
    </row>
    <row r="14">
      <c r="B14" s="1" t="s">
        <v>14</v>
      </c>
      <c r="C14" s="1" t="s">
        <v>15</v>
      </c>
      <c r="F14" s="1" t="s">
        <v>16</v>
      </c>
    </row>
    <row r="15">
      <c r="B15" s="1" t="s">
        <v>17</v>
      </c>
      <c r="C15" s="1">
        <v>297.0</v>
      </c>
      <c r="F15" s="1">
        <v>489.0</v>
      </c>
    </row>
    <row r="17">
      <c r="B17" s="1" t="s">
        <v>18</v>
      </c>
    </row>
    <row r="18">
      <c r="B18" s="1" t="s">
        <v>19</v>
      </c>
      <c r="C18" s="1" t="s">
        <v>15</v>
      </c>
      <c r="F18" s="1" t="s">
        <v>16</v>
      </c>
    </row>
    <row r="19">
      <c r="B19" s="1"/>
      <c r="C19" s="3" t="s">
        <v>20</v>
      </c>
      <c r="D19" s="3" t="s">
        <v>21</v>
      </c>
      <c r="E19" s="3" t="s">
        <v>22</v>
      </c>
      <c r="F19" s="3" t="s">
        <v>20</v>
      </c>
      <c r="G19" s="3" t="s">
        <v>21</v>
      </c>
      <c r="H19" s="3" t="s">
        <v>22</v>
      </c>
    </row>
    <row r="20">
      <c r="B20" s="1">
        <v>1.0</v>
      </c>
      <c r="C20" s="1" t="s">
        <v>23</v>
      </c>
      <c r="D20" s="1" t="s">
        <v>24</v>
      </c>
      <c r="E20" s="4" t="str">
        <f t="shared" ref="E20:E29" si="1">IFERROR(AVERAGE(C20:D20), "")</f>
        <v/>
      </c>
      <c r="F20" s="1" t="s">
        <v>25</v>
      </c>
      <c r="G20" s="5" t="s">
        <v>26</v>
      </c>
      <c r="H20" s="4" t="str">
        <f t="shared" ref="H20:H29" si="2">IFERROR(AVERAGE(F20:G20), "")</f>
        <v/>
      </c>
    </row>
    <row r="21">
      <c r="B21" s="1">
        <v>2.0</v>
      </c>
      <c r="C21" s="1" t="s">
        <v>27</v>
      </c>
      <c r="D21" s="1" t="s">
        <v>28</v>
      </c>
      <c r="E21" s="4" t="str">
        <f t="shared" si="1"/>
        <v/>
      </c>
      <c r="F21" s="1" t="s">
        <v>29</v>
      </c>
      <c r="G21" s="1" t="s">
        <v>28</v>
      </c>
      <c r="H21" s="4" t="str">
        <f t="shared" si="2"/>
        <v/>
      </c>
    </row>
    <row r="22">
      <c r="B22" s="1">
        <v>3.0</v>
      </c>
      <c r="C22" s="1" t="s">
        <v>30</v>
      </c>
      <c r="D22" s="1" t="s">
        <v>31</v>
      </c>
      <c r="E22" s="4" t="str">
        <f t="shared" si="1"/>
        <v/>
      </c>
      <c r="F22" s="1" t="s">
        <v>32</v>
      </c>
      <c r="G22" s="1" t="s">
        <v>33</v>
      </c>
      <c r="H22" s="4" t="str">
        <f t="shared" si="2"/>
        <v/>
      </c>
    </row>
    <row r="23">
      <c r="B23" s="1">
        <v>4.0</v>
      </c>
      <c r="C23" s="1" t="s">
        <v>34</v>
      </c>
      <c r="D23" s="1" t="s">
        <v>35</v>
      </c>
      <c r="E23" s="4" t="str">
        <f t="shared" si="1"/>
        <v/>
      </c>
      <c r="F23" s="6" t="s">
        <v>36</v>
      </c>
      <c r="G23" s="1" t="s">
        <v>37</v>
      </c>
      <c r="H23" s="4" t="str">
        <f t="shared" si="2"/>
        <v/>
      </c>
    </row>
    <row r="24">
      <c r="B24" s="1">
        <v>5.0</v>
      </c>
      <c r="C24" s="1" t="s">
        <v>38</v>
      </c>
      <c r="D24" s="1" t="s">
        <v>39</v>
      </c>
      <c r="E24" s="4" t="str">
        <f t="shared" si="1"/>
        <v/>
      </c>
      <c r="F24" s="1" t="s">
        <v>40</v>
      </c>
      <c r="G24" s="1" t="s">
        <v>41</v>
      </c>
      <c r="H24" s="4" t="str">
        <f t="shared" si="2"/>
        <v/>
      </c>
    </row>
    <row r="25">
      <c r="B25" s="1">
        <v>6.0</v>
      </c>
      <c r="C25" s="1" t="s">
        <v>42</v>
      </c>
      <c r="D25" s="1" t="s">
        <v>43</v>
      </c>
      <c r="E25" s="4" t="str">
        <f t="shared" si="1"/>
        <v/>
      </c>
      <c r="F25" s="1" t="s">
        <v>23</v>
      </c>
      <c r="G25" s="1" t="s">
        <v>44</v>
      </c>
      <c r="H25" s="4" t="str">
        <f t="shared" si="2"/>
        <v/>
      </c>
    </row>
    <row r="26">
      <c r="B26" s="1">
        <v>7.0</v>
      </c>
      <c r="C26" s="1" t="s">
        <v>32</v>
      </c>
      <c r="D26" s="1" t="s">
        <v>45</v>
      </c>
      <c r="E26" s="4" t="str">
        <f t="shared" si="1"/>
        <v/>
      </c>
      <c r="F26" s="1" t="s">
        <v>36</v>
      </c>
      <c r="G26" s="1" t="s">
        <v>46</v>
      </c>
      <c r="H26" s="4" t="str">
        <f t="shared" si="2"/>
        <v/>
      </c>
    </row>
    <row r="27">
      <c r="B27" s="1">
        <v>8.0</v>
      </c>
      <c r="C27" s="1" t="s">
        <v>47</v>
      </c>
      <c r="D27" s="1" t="s">
        <v>44</v>
      </c>
      <c r="E27" s="4" t="str">
        <f t="shared" si="1"/>
        <v/>
      </c>
      <c r="F27" s="1" t="s">
        <v>48</v>
      </c>
      <c r="G27" s="1" t="s">
        <v>37</v>
      </c>
      <c r="H27" s="4" t="str">
        <f t="shared" si="2"/>
        <v/>
      </c>
    </row>
    <row r="28">
      <c r="B28" s="1">
        <v>9.0</v>
      </c>
      <c r="C28" s="1" t="s">
        <v>49</v>
      </c>
      <c r="D28" s="1" t="s">
        <v>50</v>
      </c>
      <c r="E28" s="4" t="str">
        <f t="shared" si="1"/>
        <v/>
      </c>
      <c r="F28" s="1" t="s">
        <v>51</v>
      </c>
      <c r="G28" s="1" t="s">
        <v>52</v>
      </c>
      <c r="H28" s="4" t="str">
        <f t="shared" si="2"/>
        <v/>
      </c>
    </row>
    <row r="29">
      <c r="B29" s="1">
        <v>10.0</v>
      </c>
      <c r="C29" s="1" t="s">
        <v>53</v>
      </c>
      <c r="D29" s="1" t="s">
        <v>54</v>
      </c>
      <c r="E29" s="4" t="str">
        <f t="shared" si="1"/>
        <v/>
      </c>
      <c r="F29" s="1" t="s">
        <v>42</v>
      </c>
      <c r="G29" s="1" t="s">
        <v>55</v>
      </c>
      <c r="H29" s="4" t="str">
        <f t="shared" si="2"/>
        <v/>
      </c>
    </row>
    <row r="30">
      <c r="B30" s="1" t="s">
        <v>56</v>
      </c>
      <c r="C30" s="4" t="str">
        <f>IFERROR(AVERAGE(E20:E29), "")</f>
        <v/>
      </c>
      <c r="F30" s="4" t="str">
        <f>IFERROR(AVERAGE(H20:H29), "")</f>
        <v/>
      </c>
    </row>
    <row r="32">
      <c r="B32" s="1" t="s">
        <v>57</v>
      </c>
    </row>
    <row r="33">
      <c r="B33" s="1" t="s">
        <v>14</v>
      </c>
      <c r="C33" s="1" t="s">
        <v>15</v>
      </c>
      <c r="F33" s="1" t="s">
        <v>16</v>
      </c>
    </row>
    <row r="34">
      <c r="B34" s="1" t="s">
        <v>58</v>
      </c>
    </row>
    <row r="35">
      <c r="B35" s="1" t="s">
        <v>59</v>
      </c>
    </row>
    <row r="36">
      <c r="B36" s="1" t="s">
        <v>60</v>
      </c>
    </row>
    <row r="37">
      <c r="B37" s="1" t="s">
        <v>61</v>
      </c>
    </row>
    <row r="38">
      <c r="B38" s="1" t="s">
        <v>62</v>
      </c>
    </row>
  </sheetData>
  <mergeCells count="6">
    <mergeCell ref="C14:E14"/>
    <mergeCell ref="F14:H14"/>
    <mergeCell ref="C18:E18"/>
    <mergeCell ref="F18:H18"/>
    <mergeCell ref="C33:E33"/>
    <mergeCell ref="F33:H33"/>
  </mergeCells>
  <drawing r:id="rId1"/>
</worksheet>
</file>